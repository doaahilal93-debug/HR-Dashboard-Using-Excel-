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27"/>
  <workbookPr hidePivotFieldList="1" defaultThemeVersion="202300"/>
  <mc:AlternateContent xmlns:mc="http://schemas.openxmlformats.org/markup-compatibility/2006">
    <mc:Choice Requires="x15">
      <x15ac:absPath xmlns:x15ac="http://schemas.microsoft.com/office/spreadsheetml/2010/11/ac" url="C:\Users\hp\Desktop\power bi\HR Project\"/>
    </mc:Choice>
  </mc:AlternateContent>
  <xr:revisionPtr revIDLastSave="0" documentId="13_ncr:1_{B0FC8C17-D246-4F15-ADC4-1EEE7C47DAE7}" xr6:coauthVersionLast="47" xr6:coauthVersionMax="47" xr10:uidLastSave="{00000000-0000-0000-0000-000000000000}"/>
  <bookViews>
    <workbookView xWindow="-108" yWindow="-108" windowWidth="23256" windowHeight="12456" tabRatio="737" firstSheet="1" activeTab="1" xr2:uid="{A4DD4B36-AFC7-4E03-85EB-01536854F3AE}"/>
  </bookViews>
  <sheets>
    <sheet name="Correct Gender" sheetId="15" state="hidden" r:id="rId1"/>
    <sheet name="full data" sheetId="4" r:id="rId2"/>
    <sheet name="Pivot Table" sheetId="6" r:id="rId3"/>
    <sheet name="Employees Anlysis" sheetId="13" r:id="rId4"/>
    <sheet name="Department Anlysis" sheetId="14" r:id="rId5"/>
    <sheet name="Insights" sheetId="17" r:id="rId6"/>
  </sheets>
  <definedNames>
    <definedName name="_xlchart.v1.0" hidden="1">'Pivot Table'!$L$35:$L$40</definedName>
    <definedName name="_xlchart.v1.1" hidden="1">'Pivot Table'!$M$34</definedName>
    <definedName name="_xlchart.v1.2" hidden="1">'Pivot Table'!$M$35:$M$40</definedName>
    <definedName name="_xlchart.v1.3" hidden="1">'Pivot Table'!$L$35:$L$40</definedName>
    <definedName name="_xlchart.v1.4" hidden="1">'Pivot Table'!$M$34</definedName>
    <definedName name="_xlchart.v1.5" hidden="1">'Pivot Table'!$M$35:$M$40</definedName>
    <definedName name="ExternalData_3" localSheetId="1" hidden="1">'full data'!$A$1:$X$201</definedName>
    <definedName name="ExternalData_4" localSheetId="0" hidden="1">'Correct Gender'!$A$1:$B$121</definedName>
    <definedName name="Slicer_Age_Category">#N/A</definedName>
    <definedName name="Slicer_Department">#N/A</definedName>
    <definedName name="Slicer_Gender">#N/A</definedName>
    <definedName name="Slicer_Year">#N/A</definedName>
  </definedNames>
  <calcPr calcId="191029"/>
  <pivotCaches>
    <pivotCache cacheId="188"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50" i="6" l="1"/>
  <c r="V49" i="6"/>
  <c r="V48" i="6"/>
  <c r="V46" i="6"/>
  <c r="U49" i="6"/>
  <c r="U48" i="6"/>
  <c r="U47" i="6"/>
  <c r="U46" i="6"/>
  <c r="T50" i="6"/>
  <c r="T49" i="6"/>
  <c r="T45" i="6"/>
  <c r="S50" i="6"/>
  <c r="S49" i="6"/>
  <c r="S48" i="6"/>
  <c r="S46" i="6"/>
  <c r="S44" i="6"/>
  <c r="R49" i="6"/>
  <c r="R47" i="6"/>
  <c r="R45" i="6"/>
  <c r="Q49" i="6"/>
  <c r="Q48" i="6"/>
  <c r="M45" i="6"/>
  <c r="M46" i="6"/>
  <c r="M47" i="6"/>
  <c r="M48" i="6"/>
  <c r="M49" i="6"/>
  <c r="M50" i="6"/>
  <c r="K12" i="6"/>
  <c r="M39" i="6"/>
  <c r="M38" i="6"/>
  <c r="M35" i="6"/>
  <c r="M37" i="6"/>
  <c r="M40" i="6"/>
  <c r="E2" i="6"/>
  <c r="D16" i="6"/>
  <c r="K8" i="6"/>
  <c r="D12" i="6"/>
  <c r="E29" i="6"/>
  <c r="F23" i="6"/>
  <c r="J24" i="6"/>
  <c r="F20" i="6"/>
  <c r="D8" i="6"/>
  <c r="E3" i="6"/>
  <c r="M3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B542DF1-1FD4-434E-B28D-0B8C1629AFBB}" keepAlive="1" name="Query - Correct Gender" description="Connection to the 'Correct Gender' query in the workbook." type="5" refreshedVersion="8" background="1" saveData="1">
    <dbPr connection="Provider=Microsoft.Mashup.OleDb.1;Data Source=$Workbook$;Location=&quot;Correct Gender&quot;;Extended Properties=&quot;&quot;" command="SELECT * FROM [Correct Gender]"/>
  </connection>
  <connection id="2" xr16:uid="{BE09C2DF-E28A-4255-BA39-0AD3AADDA17A}" keepAlive="1" name="Query - full data" description="Connection to the 'full data' query in the workbook." type="5" refreshedVersion="8" background="1" saveData="1">
    <dbPr connection="Provider=Microsoft.Mashup.OleDb.1;Data Source=$Workbook$;Location=&quot;full data&quot;;Extended Properties=&quot;&quot;" command="SELECT * FROM [full data]"/>
  </connection>
  <connection id="3" xr16:uid="{AABDC71C-5A07-49E8-AD56-EB153433DFB9}" keepAlive="1" name="Query - part 1" description="Connection to the 'part 1' query in the workbook." type="5" refreshedVersion="0" background="1">
    <dbPr connection="Provider=Microsoft.Mashup.OleDb.1;Data Source=$Workbook$;Location=&quot;part 1&quot;;Extended Properties=&quot;&quot;" command="SELECT * FROM [part 1]"/>
  </connection>
  <connection id="4" xr16:uid="{120E21F1-638A-421B-A6A6-54199CEBC16C}" keepAlive="1" name="Query - part 2" description="Connection to the 'part 2' query in the workbook." type="5" refreshedVersion="0" background="1">
    <dbPr connection="Provider=Microsoft.Mashup.OleDb.1;Data Source=$Workbook$;Location=&quot;part 2&quot;;Extended Properties=&quot;&quot;" command="SELECT * FROM [part 2]"/>
  </connection>
</connections>
</file>

<file path=xl/sharedStrings.xml><?xml version="1.0" encoding="utf-8"?>
<sst xmlns="http://schemas.openxmlformats.org/spreadsheetml/2006/main" count="2035" uniqueCount="204">
  <si>
    <t>EmployeeID</t>
  </si>
  <si>
    <t>Name</t>
  </si>
  <si>
    <t>Department</t>
  </si>
  <si>
    <t>JobRole</t>
  </si>
  <si>
    <t>Gender</t>
  </si>
  <si>
    <t>Age</t>
  </si>
  <si>
    <t>HireDate</t>
  </si>
  <si>
    <t>ExitDate</t>
  </si>
  <si>
    <t>Salary</t>
  </si>
  <si>
    <t>PerformanceScore</t>
  </si>
  <si>
    <t>SatisfactionScore</t>
  </si>
  <si>
    <t>EngagementScore</t>
  </si>
  <si>
    <t>AbsenceDays</t>
  </si>
  <si>
    <t>OvertimeHours</t>
  </si>
  <si>
    <t>TrainingHours</t>
  </si>
  <si>
    <t>TrainingCost</t>
  </si>
  <si>
    <t>Amr Ibrahim</t>
  </si>
  <si>
    <t>Operations</t>
  </si>
  <si>
    <t>Operations Analyst</t>
  </si>
  <si>
    <t>Salma Mostafa</t>
  </si>
  <si>
    <t>Sales</t>
  </si>
  <si>
    <t>Sales Executive</t>
  </si>
  <si>
    <t>Mostafa Khaled</t>
  </si>
  <si>
    <t>HR</t>
  </si>
  <si>
    <t>Recruiter</t>
  </si>
  <si>
    <t>Mona Nabil</t>
  </si>
  <si>
    <t>Mona Ali</t>
  </si>
  <si>
    <t>Finance</t>
  </si>
  <si>
    <t>Financial Analyst</t>
  </si>
  <si>
    <t>Hassan Fathy</t>
  </si>
  <si>
    <t>HR Specialist</t>
  </si>
  <si>
    <t>Nour Sayed</t>
  </si>
  <si>
    <t>Marketing</t>
  </si>
  <si>
    <t>Marketing Specialist</t>
  </si>
  <si>
    <t>Youssef Fathy</t>
  </si>
  <si>
    <t>IT</t>
  </si>
  <si>
    <t>Data Analyst</t>
  </si>
  <si>
    <t>Dina Hassan</t>
  </si>
  <si>
    <t>Omar Sayed</t>
  </si>
  <si>
    <t>Software Engineer</t>
  </si>
  <si>
    <t>Sara Mahmoud</t>
  </si>
  <si>
    <t>Aya Khaled</t>
  </si>
  <si>
    <t>Content Creator</t>
  </si>
  <si>
    <t>Heba Ali</t>
  </si>
  <si>
    <t>BI Developer</t>
  </si>
  <si>
    <t>Amr Ali</t>
  </si>
  <si>
    <t>Account Manager</t>
  </si>
  <si>
    <t>Aya Nabil</t>
  </si>
  <si>
    <t>Rania Mahmoud</t>
  </si>
  <si>
    <t>Accountant</t>
  </si>
  <si>
    <t>Hala Fathy</t>
  </si>
  <si>
    <t>Hala Ibrahim</t>
  </si>
  <si>
    <t>Mohamed Hassan</t>
  </si>
  <si>
    <t>Coordinator</t>
  </si>
  <si>
    <t>Mostafa Mostafa</t>
  </si>
  <si>
    <t>Hassan Mahmoud</t>
  </si>
  <si>
    <t>DBA</t>
  </si>
  <si>
    <t>Karim Khaled</t>
  </si>
  <si>
    <t>Karim Mostafa</t>
  </si>
  <si>
    <t>Heba Sayed</t>
  </si>
  <si>
    <t>Amr Youssef</t>
  </si>
  <si>
    <t>Nour Ali</t>
  </si>
  <si>
    <t>Aya Youssef</t>
  </si>
  <si>
    <t>Hala Mahmoud</t>
  </si>
  <si>
    <t>Amr Mahmoud</t>
  </si>
  <si>
    <t>Hassan Khaled</t>
  </si>
  <si>
    <t>Salma Khaled</t>
  </si>
  <si>
    <t>Salma Youssef</t>
  </si>
  <si>
    <t>Omar Mahmoud</t>
  </si>
  <si>
    <t>Fatma Fathy</t>
  </si>
  <si>
    <t>Ahmed Youssef</t>
  </si>
  <si>
    <t>HR Manager</t>
  </si>
  <si>
    <t>Karim Youssef</t>
  </si>
  <si>
    <t>Heba Mahmoud</t>
  </si>
  <si>
    <t>Dina Ali</t>
  </si>
  <si>
    <t>Amr Mostafa</t>
  </si>
  <si>
    <t>Nour Mahmoud</t>
  </si>
  <si>
    <t>Mahmoud Mostafa</t>
  </si>
  <si>
    <t>Heba Youssef</t>
  </si>
  <si>
    <t>Mostafa Sayed</t>
  </si>
  <si>
    <t>Nour Mostafa</t>
  </si>
  <si>
    <t>Mohamed Youssef</t>
  </si>
  <si>
    <t>Sara Nabil</t>
  </si>
  <si>
    <t>Karim Fathy</t>
  </si>
  <si>
    <t>Heba Nabil</t>
  </si>
  <si>
    <t>Heba Hassan</t>
  </si>
  <si>
    <t>Mohamed Sayed</t>
  </si>
  <si>
    <t>Mohamed Ibrahim</t>
  </si>
  <si>
    <t>Youssef Ibrahim</t>
  </si>
  <si>
    <t>Aya Hassan</t>
  </si>
  <si>
    <t>Omar Hassan</t>
  </si>
  <si>
    <t>Youssef Sayed</t>
  </si>
  <si>
    <t>Mostafa Mahmoud</t>
  </si>
  <si>
    <t>Sara Youssef</t>
  </si>
  <si>
    <t>Ibrahim Sayed</t>
  </si>
  <si>
    <t>Ibrahim Ali</t>
  </si>
  <si>
    <t>Heba Fathy</t>
  </si>
  <si>
    <t>Mahmoud Sayed</t>
  </si>
  <si>
    <t>Youssef Khaled</t>
  </si>
  <si>
    <t>Aya Ali</t>
  </si>
  <si>
    <t>Nour Nabil</t>
  </si>
  <si>
    <t>Rania Youssef</t>
  </si>
  <si>
    <t>Aya Fathy</t>
  </si>
  <si>
    <t>Ibrahim Ibrahim</t>
  </si>
  <si>
    <t>Omar Youssef</t>
  </si>
  <si>
    <t>Fatma Khaled</t>
  </si>
  <si>
    <t>Ibrahim Mahmoud</t>
  </si>
  <si>
    <t>Omar Ali</t>
  </si>
  <si>
    <t>Rania Hassan</t>
  </si>
  <si>
    <t>Ahmed Ibrahim</t>
  </si>
  <si>
    <t>Hassan Hassan</t>
  </si>
  <si>
    <t>Sara Ibrahim</t>
  </si>
  <si>
    <t>Salma Fathy</t>
  </si>
  <si>
    <t>Nour Khaled</t>
  </si>
  <si>
    <t>Ahmed Sayed</t>
  </si>
  <si>
    <t>Aya Mostafa</t>
  </si>
  <si>
    <t>Mahmoud Mahmoud</t>
  </si>
  <si>
    <t>Dina Fathy</t>
  </si>
  <si>
    <t>Rania Khaled</t>
  </si>
  <si>
    <t>Age Category</t>
  </si>
  <si>
    <t>ExitStatus</t>
  </si>
  <si>
    <t>AttendanceDays</t>
  </si>
  <si>
    <t>AttendanceMonths</t>
  </si>
  <si>
    <t>Salary Category</t>
  </si>
  <si>
    <t>PerformanceCategory</t>
  </si>
  <si>
    <t>TrainingEfficiency</t>
  </si>
  <si>
    <t>+40</t>
  </si>
  <si>
    <t>Left</t>
  </si>
  <si>
    <t>High</t>
  </si>
  <si>
    <t>Low</t>
  </si>
  <si>
    <t>30-40</t>
  </si>
  <si>
    <t>Still Work</t>
  </si>
  <si>
    <t>Mid</t>
  </si>
  <si>
    <t>Medium</t>
  </si>
  <si>
    <t>Under 30</t>
  </si>
  <si>
    <t>Row Labels</t>
  </si>
  <si>
    <t>Grand Total</t>
  </si>
  <si>
    <t>Count of EmployeeID</t>
  </si>
  <si>
    <t>Retention</t>
  </si>
  <si>
    <t>turnover</t>
  </si>
  <si>
    <t>Average of AbsenceDays</t>
  </si>
  <si>
    <t>Average of OvertimeHours</t>
  </si>
  <si>
    <t>Average of EngagementScore</t>
  </si>
  <si>
    <t>Count of SatisfactionScore</t>
  </si>
  <si>
    <t>4+5</t>
  </si>
  <si>
    <t>Average of SatisfactionScore</t>
  </si>
  <si>
    <t>Sum of TrainingCost</t>
  </si>
  <si>
    <t>Count of Gender</t>
  </si>
  <si>
    <t>Average of Salary</t>
  </si>
  <si>
    <t xml:space="preserve">90-Day failure Rate </t>
  </si>
  <si>
    <t>Average of TrainingCost</t>
  </si>
  <si>
    <t>2018</t>
  </si>
  <si>
    <t>2019</t>
  </si>
  <si>
    <t>2020</t>
  </si>
  <si>
    <t>2021</t>
  </si>
  <si>
    <t>2022</t>
  </si>
  <si>
    <t>2023</t>
  </si>
  <si>
    <t>2024</t>
  </si>
  <si>
    <t>Average of AttendanceMonths</t>
  </si>
  <si>
    <t>Average of AttendanceYears</t>
  </si>
  <si>
    <t>Year</t>
  </si>
  <si>
    <t>Omar Fathy</t>
  </si>
  <si>
    <t>Fatma Youssef</t>
  </si>
  <si>
    <t>Fatma Sayed</t>
  </si>
  <si>
    <t>Salma Sayed</t>
  </si>
  <si>
    <t>Fatma Ali</t>
  </si>
  <si>
    <t>Rania Mostafa</t>
  </si>
  <si>
    <t>Ahmed Mahmoud</t>
  </si>
  <si>
    <t>Hala Ali</t>
  </si>
  <si>
    <t>Mostafa Ali</t>
  </si>
  <si>
    <t>Dina Sayed</t>
  </si>
  <si>
    <t>Hassan Nabil</t>
  </si>
  <si>
    <t>Karim Ibrahim</t>
  </si>
  <si>
    <t>Amr Fathy</t>
  </si>
  <si>
    <t>Nour Youssef</t>
  </si>
  <si>
    <t>Dina Mahmoud</t>
  </si>
  <si>
    <t>Karim Mahmoud</t>
  </si>
  <si>
    <t>Karim Nabil</t>
  </si>
  <si>
    <t>Mostafa Hassan</t>
  </si>
  <si>
    <t>Rania Ibrahim</t>
  </si>
  <si>
    <t>Nour Hassan</t>
  </si>
  <si>
    <t>Omar Ibrahim</t>
  </si>
  <si>
    <t>Hala Youssef</t>
  </si>
  <si>
    <t>Fatma Mahmoud</t>
  </si>
  <si>
    <t>Salma Nabil</t>
  </si>
  <si>
    <t>Mona Mahmoud</t>
  </si>
  <si>
    <t>Mostafa Nabil</t>
  </si>
  <si>
    <t>Mona Khaled</t>
  </si>
  <si>
    <t>Mahmoud Fathy</t>
  </si>
  <si>
    <t>Hala Mostafa</t>
  </si>
  <si>
    <t>Hassan Ali</t>
  </si>
  <si>
    <t>Mahmoud Nabil</t>
  </si>
  <si>
    <t>Salma Ibrahim</t>
  </si>
  <si>
    <t>Mohamed Ali</t>
  </si>
  <si>
    <t>Mona Youssef</t>
  </si>
  <si>
    <t>Nour Fathy</t>
  </si>
  <si>
    <t>Rania Ali</t>
  </si>
  <si>
    <t>Ibrahim Hassan</t>
  </si>
  <si>
    <t>Heba Ibrahim</t>
  </si>
  <si>
    <t>(Multiple Items)</t>
  </si>
  <si>
    <t>correct gender</t>
  </si>
  <si>
    <t xml:space="preserve">Male </t>
  </si>
  <si>
    <t xml:space="preserve">Female </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</si>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</sst>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43" formatCode="_(* #,##0.00_);_(* \(#,##0.00\);_(* &quot;-&quot;??_);_(@_)"/>
    <numFmt numFmtId="164" formatCode="0.0"/>
    <numFmt numFmtId="165" formatCode="0.0%"/>
    <numFmt numFmtId="166" formatCode="_-* #,##0.00\ [$ج.م.‏-C01]_-;\-* #,##0.00\ [$ج.م.‏-C01]_-;_-* &quot;-&quot;??\ [$ج.م.‏-C01]_-;_-@_-"/>
    <numFmt numFmtId="177" formatCode="_(* #,##0_);_(* \(#,##0\);_(* &quot;-&quot;??_);_(@_)"/>
  </numFmts>
  <fonts count="4" x14ac:knownFonts="1">
    <font>
      <sz val="11"/>
      <color theme="1"/>
      <name val="Aptos Narrow"/>
      <family val="2"/>
      <scheme val="minor"/>
    </font>
    <font>
      <sz val="11"/>
      <color theme="1"/>
      <name val="Aptos Narrow"/>
      <family val="2"/>
      <scheme val="minor"/>
    </font>
    <font>
      <sz val="11"/>
      <color rgb="FFFF0000"/>
      <name val="Aptos Narrow"/>
      <family val="2"/>
      <scheme val="minor"/>
    </font>
    <font>
      <sz val="10"/>
      <color theme="1"/>
      <name val="Aptos Narrow"/>
      <family val="2"/>
      <scheme val="minor"/>
    </font>
  </fonts>
  <fills count="5">
    <fill>
      <patternFill patternType="none"/>
    </fill>
    <fill>
      <patternFill patternType="gray125"/>
    </fill>
    <fill>
      <patternFill patternType="solid">
        <fgColor rgb="FF023047"/>
        <bgColor indexed="64"/>
      </patternFill>
    </fill>
    <fill>
      <patternFill patternType="solid">
        <fgColor theme="7" tint="-0.499984740745262"/>
        <bgColor indexed="64"/>
      </patternFill>
    </fill>
    <fill>
      <patternFill patternType="solid">
        <fgColor rgb="FF114E6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cellStyleXfs>
  <cellXfs count="23">
    <xf numFmtId="0" fontId="0" fillId="0" borderId="0" xfId="0"/>
    <xf numFmtId="14" fontId="0" fillId="0" borderId="0" xfId="0" applyNumberFormat="1"/>
    <xf numFmtId="0" fontId="0" fillId="2" borderId="0" xfId="0" applyFill="1"/>
    <xf numFmtId="0" fontId="0" fillId="3" borderId="0" xfId="0" applyFill="1"/>
    <xf numFmtId="9" fontId="0" fillId="0" borderId="0" xfId="2" applyFont="1"/>
    <xf numFmtId="0" fontId="0" fillId="0" borderId="0" xfId="0" pivotButton="1" applyAlignment="1">
      <alignment horizontal="center" vertical="center"/>
    </xf>
    <xf numFmtId="0" fontId="0" fillId="0" borderId="0" xfId="0" applyAlignment="1">
      <alignment horizontal="center" vertical="center"/>
    </xf>
    <xf numFmtId="10" fontId="0" fillId="0" borderId="0" xfId="0" applyNumberFormat="1" applyAlignment="1">
      <alignment horizontal="center" vertical="center"/>
    </xf>
    <xf numFmtId="0" fontId="2" fillId="3" borderId="0" xfId="0" applyFont="1" applyFill="1" applyAlignment="1">
      <alignment horizontal="center" vertical="center"/>
    </xf>
    <xf numFmtId="1" fontId="0" fillId="0" borderId="0" xfId="0" applyNumberFormat="1" applyAlignment="1">
      <alignment horizontal="center" vertical="center"/>
    </xf>
    <xf numFmtId="164" fontId="0" fillId="0" borderId="0" xfId="0" applyNumberFormat="1" applyAlignment="1">
      <alignment horizontal="center" vertical="center"/>
    </xf>
    <xf numFmtId="165" fontId="0" fillId="0" borderId="0" xfId="2" applyNumberFormat="1" applyFont="1" applyAlignment="1">
      <alignment horizontal="center" vertical="center"/>
    </xf>
    <xf numFmtId="0" fontId="0" fillId="3" borderId="0" xfId="0" applyFill="1" applyAlignment="1">
      <alignment horizontal="center" vertical="center"/>
    </xf>
    <xf numFmtId="9" fontId="0" fillId="0" borderId="0" xfId="2" applyFont="1" applyAlignment="1">
      <alignment horizontal="right" vertical="center"/>
    </xf>
    <xf numFmtId="0" fontId="3" fillId="0" borderId="0" xfId="0" applyFont="1"/>
    <xf numFmtId="166" fontId="0" fillId="2" borderId="0" xfId="1" applyNumberFormat="1" applyFont="1" applyFill="1"/>
    <xf numFmtId="2" fontId="0" fillId="0" borderId="0" xfId="0" applyNumberFormat="1" applyAlignment="1">
      <alignment horizontal="center" vertical="center"/>
    </xf>
    <xf numFmtId="0" fontId="0" fillId="0" borderId="0" xfId="0" applyNumberFormat="1" applyAlignment="1">
      <alignment horizontal="center" vertical="center"/>
    </xf>
    <xf numFmtId="0" fontId="0" fillId="4" borderId="0" xfId="0" applyFill="1" applyAlignment="1">
      <alignment horizontal="center" vertical="center"/>
    </xf>
    <xf numFmtId="0" fontId="0" fillId="0" borderId="0" xfId="0" applyAlignment="1">
      <alignment horizontal="left" vertical="top"/>
    </xf>
    <xf numFmtId="0" fontId="0" fillId="0" borderId="1" xfId="0" applyBorder="1" applyAlignment="1">
      <alignment horizontal="center" vertical="center"/>
    </xf>
    <xf numFmtId="177" fontId="0" fillId="0" borderId="0" xfId="3" applyNumberFormat="1" applyFont="1" applyAlignment="1">
      <alignment horizontal="center" vertical="center"/>
    </xf>
    <xf numFmtId="177" fontId="0" fillId="0" borderId="0" xfId="3" applyNumberFormat="1" applyFont="1"/>
  </cellXfs>
  <cellStyles count="4">
    <cellStyle name="Comma" xfId="3" builtinId="3"/>
    <cellStyle name="Currency" xfId="1" builtinId="4"/>
    <cellStyle name="Normal" xfId="0" builtinId="0"/>
    <cellStyle name="Percent" xfId="2" builtinId="5"/>
  </cellStyles>
  <dxfs count="207">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numFmt numFmtId="1" formatCode="0"/>
    </dxf>
    <dxf>
      <alignment vertical="center"/>
    </dxf>
    <dxf>
      <alignment vertical="center"/>
    </dxf>
    <dxf>
      <alignment vertical="center"/>
    </dxf>
    <dxf>
      <alignment horizontal="center"/>
    </dxf>
    <dxf>
      <alignment horizontal="center"/>
    </dxf>
    <dxf>
      <alignment horizontal="center"/>
    </dxf>
    <dxf>
      <numFmt numFmtId="1" formatCode="0"/>
    </dxf>
    <dxf>
      <alignment vertical="center"/>
    </dxf>
    <dxf>
      <alignment vertical="center"/>
    </dxf>
    <dxf>
      <alignment vertical="center"/>
    </dxf>
    <dxf>
      <alignment horizontal="center"/>
    </dxf>
    <dxf>
      <alignment horizontal="center"/>
    </dxf>
    <dxf>
      <alignment horizontal="center"/>
    </dxf>
    <dxf>
      <numFmt numFmtId="19" formatCode="m/d/yyyy"/>
    </dxf>
    <dxf>
      <numFmt numFmtId="19" formatCode="m/d/yyyy"/>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 formatCode="0"/>
    </dxf>
    <dxf>
      <alignment vertical="center"/>
    </dxf>
    <dxf>
      <alignment vertical="center"/>
    </dxf>
    <dxf>
      <alignment vertic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numFmt numFmtId="1" formatCode="0"/>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numFmt numFmtId="1"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1" formatCode="0"/>
    </dxf>
    <dxf>
      <numFmt numFmtId="1" formatCode="0"/>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bgColor rgb="FFFFC000"/>
        </patternFill>
      </fill>
    </dxf>
    <dxf>
      <fill>
        <patternFill>
          <bgColor rgb="FFFFC000"/>
        </patternFill>
      </fill>
    </dxf>
  </dxfs>
  <tableStyles count="2" defaultTableStyle="TableStyleMedium2" defaultPivotStyle="PivotStyleLight16">
    <tableStyle name="Slicer Style 1" pivot="0" table="0" count="3" xr9:uid="{60882660-3B97-4014-AF60-B38D37564825}">
      <tableStyleElement type="headerRow" dxfId="206"/>
    </tableStyle>
    <tableStyle name="Slicer Style 2" pivot="0" table="0" count="4" xr9:uid="{3A3A83CE-96C5-4FB5-83A1-A7581ABA29F4}">
      <tableStyleElement type="wholeTable" dxfId="205"/>
    </tableStyle>
  </tableStyles>
  <colors>
    <mruColors>
      <color rgb="FF003049"/>
      <color rgb="FF004D74"/>
      <color rgb="FF8EAC91"/>
      <color rgb="FFAEC3B0"/>
      <color rgb="FFEE9B00"/>
      <color rgb="FFC1121F"/>
      <color rgb="FFFDF0D5"/>
      <color rgb="FF669BBC"/>
      <color rgb="FF114E69"/>
      <color rgb="FFFF763F"/>
    </mruColors>
  </colors>
  <extLst>
    <ext xmlns:x14="http://schemas.microsoft.com/office/spreadsheetml/2009/9/main" uri="{46F421CA-312F-682f-3DD2-61675219B42D}">
      <x14:dxfs count="5">
        <dxf>
          <fill>
            <patternFill>
              <bgColor theme="0"/>
            </patternFill>
          </fill>
        </dxf>
        <dxf>
          <fill>
            <patternFill>
              <bgColor rgb="FF023047"/>
            </patternFill>
          </fill>
        </dxf>
        <dxf>
          <fill>
            <patternFill>
              <bgColor theme="0" tint="-4.9989318521683403E-2"/>
            </patternFill>
          </fill>
        </dxf>
        <dxf>
          <fill>
            <patternFill>
              <bgColor rgb="FF002060"/>
            </patternFill>
          </fill>
        </dxf>
        <dxf>
          <fill>
            <patternFill>
              <bgColor rgb="FF00206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4"/>
            <x14:slicerStyleElement type="selectedItemWithNoData" dxfId="3"/>
          </x14:slicerStyleElements>
        </x14:slicerStyle>
        <x14:slicerStyle name="Slicer Style 2">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Dashboard - Copy2.xlsx]Pivot Table!Gender</c:name>
    <c:fmtId val="9"/>
  </c:pivotSource>
  <c:chart>
    <c:title>
      <c:tx>
        <c:rich>
          <a:bodyPr rot="0" spcFirstLastPara="1" vertOverflow="ellipsis" vert="horz" wrap="square" anchor="ctr" anchorCtr="1"/>
          <a:lstStyle/>
          <a:p>
            <a:pPr>
              <a:defRPr sz="1200" b="1" i="0" u="none" strike="noStrike" kern="1200" cap="all" spc="50" baseline="0">
                <a:solidFill>
                  <a:schemeClr val="bg1"/>
                </a:solidFill>
                <a:latin typeface="+mn-lt"/>
                <a:ea typeface="+mn-ea"/>
                <a:cs typeface="+mn-cs"/>
              </a:defRPr>
            </a:pPr>
            <a:r>
              <a:rPr lang="en-US" sz="1200" b="1" i="0" u="none" strike="noStrike" cap="all" baseline="0"/>
              <a:t>Gender Distribution</a:t>
            </a:r>
            <a:endParaRPr lang="en-US" sz="1200" b="1" baseline="0">
              <a:solidFill>
                <a:schemeClr val="bg1"/>
              </a:solidFill>
            </a:endParaRPr>
          </a:p>
        </c:rich>
      </c:tx>
      <c:layout>
        <c:manualLayout>
          <c:xMode val="edge"/>
          <c:yMode val="edge"/>
          <c:x val="4.0896846144589646E-2"/>
          <c:y val="1.4999994094490514E-2"/>
        </c:manualLayout>
      </c:layout>
      <c:overlay val="0"/>
      <c:spPr>
        <a:noFill/>
        <a:ln>
          <a:noFill/>
        </a:ln>
        <a:effectLst>
          <a:glow rad="38100">
            <a:schemeClr val="bg1">
              <a:alpha val="40000"/>
            </a:schemeClr>
          </a:glow>
        </a:effectLst>
      </c:spPr>
      <c:txPr>
        <a:bodyPr rot="0" spcFirstLastPara="1" vertOverflow="ellipsis" vert="horz" wrap="square" anchor="ctr" anchorCtr="1"/>
        <a:lstStyle/>
        <a:p>
          <a:pPr>
            <a:defRPr sz="12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dLbl>
          <c:idx val="0"/>
          <c:showLegendKey val="0"/>
          <c:showVal val="1"/>
          <c:showCatName val="0"/>
          <c:showSerName val="0"/>
          <c:showPercent val="1"/>
          <c:showBubbleSize val="0"/>
          <c:separator>
</c:separator>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rgbClr val="FFFFFF"/>
          </a:solidFill>
          <a:ln>
            <a:solidFill>
              <a:srgbClr val="FFFFFF"/>
            </a:solid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56082"/>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9"/>
        <c:spPr>
          <a:solidFill>
            <a:srgbClr val="FFFFFF"/>
          </a:solidFill>
          <a:ln>
            <a:noFill/>
          </a:ln>
          <a:effectLst/>
          <a:scene3d>
            <a:camera prst="orthographicFront"/>
            <a:lightRig rig="brightRoom" dir="t"/>
          </a:scene3d>
          <a:sp3d prstMaterial="flat">
            <a:bevelT w="50800" h="101600" prst="angle"/>
            <a:contourClr>
              <a:srgbClr val="000000"/>
            </a:contourClr>
          </a:sp3d>
        </c:spPr>
        <c:dLbl>
          <c:idx val="0"/>
          <c:layout>
            <c:manualLayout>
              <c:x val="1.7046807384363967E-3"/>
              <c:y val="1.6375543036216512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114E69"/>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1518195295934775"/>
                  <c:h val="0.30776221370522061"/>
                </c:manualLayout>
              </c15:layout>
            </c:ext>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rgbClr val="FFFFFF"/>
          </a:solidFill>
          <a:ln>
            <a:noFill/>
          </a:ln>
          <a:effectLst/>
          <a:scene3d>
            <a:camera prst="orthographicFront"/>
            <a:lightRig rig="brightRoom" dir="t"/>
          </a:scene3d>
          <a:sp3d prstMaterial="flat">
            <a:bevelT w="50800" h="101600" prst="angle"/>
            <a:contourClr>
              <a:srgbClr val="000000"/>
            </a:contourClr>
          </a:sp3d>
        </c:spPr>
        <c:dLbl>
          <c:idx val="0"/>
          <c:layout>
            <c:manualLayout>
              <c:x val="-6.8181860886992324E-3"/>
              <c:y val="-6.0042964178014696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14E69"/>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4"/>
        <c:spPr>
          <a:solidFill>
            <a:schemeClr val="bg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3049"/>
                  </a:solidFill>
                  <a:latin typeface="+mn-lt"/>
                  <a:ea typeface="+mn-ea"/>
                  <a:cs typeface="+mn-cs"/>
                </a:defRPr>
              </a:pPr>
              <a:endParaRPr lang="en-US"/>
            </a:p>
          </c:txPr>
        </c:dLbl>
      </c:pivotFmt>
    </c:pivotFmts>
    <c:plotArea>
      <c:layout>
        <c:manualLayout>
          <c:layoutTarget val="inner"/>
          <c:xMode val="edge"/>
          <c:yMode val="edge"/>
          <c:x val="0.51152820666582288"/>
          <c:y val="6.7499973425207319E-2"/>
          <c:w val="0.32157643168655892"/>
          <c:h val="0.85378490008468499"/>
        </c:manualLayout>
      </c:layout>
      <c:doughnutChart>
        <c:varyColors val="1"/>
        <c:ser>
          <c:idx val="0"/>
          <c:order val="0"/>
          <c:tx>
            <c:strRef>
              <c:f>'Pivot Table'!$J$1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bg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794-41D1-9E79-C64185579FA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eparator>
</c:separator>
            <c:showLeaderLines val="0"/>
            <c:extLst>
              <c:ext xmlns:c15="http://schemas.microsoft.com/office/drawing/2012/chart" uri="{CE6537A1-D6FC-4f65-9D91-7224C49458BB}"/>
            </c:extLst>
          </c:dLbls>
          <c:cat>
            <c:strRef>
              <c:f>'Pivot Table'!$I$2:$I$4</c:f>
              <c:strCache>
                <c:ptCount val="2"/>
                <c:pt idx="0">
                  <c:v>Male </c:v>
                </c:pt>
                <c:pt idx="1">
                  <c:v>Female </c:v>
                </c:pt>
              </c:strCache>
            </c:strRef>
          </c:cat>
          <c:val>
            <c:numRef>
              <c:f>'Pivot Table'!$J$2:$J$4</c:f>
              <c:numCache>
                <c:formatCode>General</c:formatCode>
                <c:ptCount val="2"/>
                <c:pt idx="0">
                  <c:v>96</c:v>
                </c:pt>
                <c:pt idx="1">
                  <c:v>104</c:v>
                </c:pt>
              </c:numCache>
            </c:numRef>
          </c:val>
          <c:extLst>
            <c:ext xmlns:c16="http://schemas.microsoft.com/office/drawing/2014/chart" uri="{C3380CC4-5D6E-409C-BE32-E72D297353CC}">
              <c16:uniqueId val="{00000006-D794-41D1-9E79-C64185579FA5}"/>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b"/>
      <c:layout>
        <c:manualLayout>
          <c:xMode val="edge"/>
          <c:yMode val="edge"/>
          <c:x val="3.9274630898569821E-2"/>
          <c:y val="0.5624006185055499"/>
          <c:w val="0.27520910222474193"/>
          <c:h val="0.11053568914216397"/>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a:outerShdw blurRad="63500" sx="102000" sy="102000" algn="ctr" rotWithShape="0">
        <a:schemeClr val="bg1">
          <a:alpha val="40000"/>
        </a:scheme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Dashboard - Copy2.xlsx]Pivot Table!Count of EngagementScore</c:name>
    <c:fmtId val="5"/>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b="0" i="0" u="none" strike="noStrike" kern="1200" spc="0" baseline="0">
                <a:ln>
                  <a:noFill/>
                </a:ln>
                <a:solidFill>
                  <a:schemeClr val="bg1">
                    <a:lumMod val="95000"/>
                  </a:schemeClr>
                </a:solidFill>
              </a:rPr>
              <a:t>Avg EngagementScore Level by Salary  Level</a:t>
            </a:r>
            <a:endParaRPr lang="en-US" sz="1200" baseline="0">
              <a:solidFill>
                <a:schemeClr val="bg1"/>
              </a:solidFill>
            </a:endParaRPr>
          </a:p>
        </c:rich>
      </c:tx>
      <c:layout>
        <c:manualLayout>
          <c:xMode val="edge"/>
          <c:yMode val="edge"/>
          <c:x val="0.27410163032416324"/>
          <c:y val="3.8626635549076103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4953065898686907"/>
          <c:w val="0.93888888888888888"/>
          <c:h val="0.73723005632879546"/>
        </c:manualLayout>
      </c:layout>
      <c:barChart>
        <c:barDir val="col"/>
        <c:grouping val="clustered"/>
        <c:varyColors val="0"/>
        <c:ser>
          <c:idx val="0"/>
          <c:order val="0"/>
          <c:tx>
            <c:strRef>
              <c:f>'Pivot Table'!$J$27</c:f>
              <c:strCache>
                <c:ptCount val="1"/>
                <c:pt idx="0">
                  <c:v>Total</c:v>
                </c:pt>
              </c:strCache>
            </c:strRef>
          </c:tx>
          <c:spPr>
            <a:solidFill>
              <a:srgbClr val="FFF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Table'!$I$28:$I$31</c:f>
              <c:strCache>
                <c:ptCount val="3"/>
                <c:pt idx="0">
                  <c:v>Mid</c:v>
                </c:pt>
                <c:pt idx="1">
                  <c:v>High</c:v>
                </c:pt>
                <c:pt idx="2">
                  <c:v>Low</c:v>
                </c:pt>
              </c:strCache>
            </c:strRef>
          </c:cat>
          <c:val>
            <c:numRef>
              <c:f>'Pivot Table'!$J$28:$J$31</c:f>
              <c:numCache>
                <c:formatCode>0.00</c:formatCode>
                <c:ptCount val="3"/>
                <c:pt idx="0">
                  <c:v>2.9879518072289155</c:v>
                </c:pt>
                <c:pt idx="1">
                  <c:v>2.9777777777777779</c:v>
                </c:pt>
                <c:pt idx="2">
                  <c:v>2.7407407407407409</c:v>
                </c:pt>
              </c:numCache>
            </c:numRef>
          </c:val>
          <c:extLst>
            <c:ext xmlns:c16="http://schemas.microsoft.com/office/drawing/2014/chart" uri="{C3380CC4-5D6E-409C-BE32-E72D297353CC}">
              <c16:uniqueId val="{00000000-C64A-41BA-BEC7-1BD7CE2C48CD}"/>
            </c:ext>
          </c:extLst>
        </c:ser>
        <c:dLbls>
          <c:dLblPos val="outEnd"/>
          <c:showLegendKey val="0"/>
          <c:showVal val="1"/>
          <c:showCatName val="0"/>
          <c:showSerName val="0"/>
          <c:showPercent val="0"/>
          <c:showBubbleSize val="0"/>
        </c:dLbls>
        <c:gapWidth val="219"/>
        <c:overlap val="-27"/>
        <c:axId val="300930055"/>
        <c:axId val="300927895"/>
      </c:barChart>
      <c:catAx>
        <c:axId val="3009300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00927895"/>
        <c:crosses val="autoZero"/>
        <c:auto val="1"/>
        <c:lblAlgn val="ctr"/>
        <c:lblOffset val="100"/>
        <c:noMultiLvlLbl val="0"/>
      </c:catAx>
      <c:valAx>
        <c:axId val="300927895"/>
        <c:scaling>
          <c:orientation val="minMax"/>
        </c:scaling>
        <c:delete val="1"/>
        <c:axPos val="l"/>
        <c:numFmt formatCode="0.00" sourceLinked="1"/>
        <c:majorTickMark val="out"/>
        <c:minorTickMark val="none"/>
        <c:tickLblPos val="nextTo"/>
        <c:crossAx val="3009300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a:outerShdw blurRad="63500" sx="102000" sy="102000" algn="ctr" rotWithShape="0">
        <a:schemeClr val="bg1">
          <a:alpha val="40000"/>
        </a:schemeClr>
      </a:outerShd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Dashboard - Copy2.xlsx]Pivot Table!Count of EmployeeID &amp; age</c:name>
    <c:fmtId val="25"/>
  </c:pivotSource>
  <c:chart>
    <c:title>
      <c:tx>
        <c:rich>
          <a:bodyPr rot="0" vert="horz"/>
          <a:lstStyle/>
          <a:p>
            <a:pPr>
              <a:defRPr sz="1200" b="0"/>
            </a:pPr>
            <a:r>
              <a:rPr lang="en-US" sz="1200" b="0" i="0" u="none" strike="noStrike" baseline="0"/>
              <a:t>Headcount by Age Group</a:t>
            </a:r>
            <a:endParaRPr lang="en-US" sz="1200" b="0"/>
          </a:p>
        </c:rich>
      </c:tx>
      <c:overlay val="0"/>
      <c:spPr>
        <a:noFill/>
        <a:ln>
          <a:noFill/>
        </a:ln>
        <a:effectLst/>
      </c:sp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rgbClr val="FFFFFF"/>
          </a:solidFill>
          <a:ln>
            <a:noFill/>
          </a:ln>
          <a:effectLst/>
        </c:spPr>
        <c:marker>
          <c:symbol val="none"/>
        </c:marker>
        <c:dLbl>
          <c:idx val="0"/>
          <c:spPr>
            <a:noFill/>
            <a:ln>
              <a:noFill/>
            </a:ln>
            <a:effectLst/>
          </c:spPr>
          <c:txPr>
            <a:bodyPr rot="0" vert="horz"/>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Table'!$Q$1</c:f>
              <c:strCache>
                <c:ptCount val="1"/>
                <c:pt idx="0">
                  <c:v>Total</c:v>
                </c:pt>
              </c:strCache>
            </c:strRef>
          </c:tx>
          <c:spPr>
            <a:solidFill>
              <a:srgbClr val="FFFFFF"/>
            </a:solidFill>
            <a:ln>
              <a:noFill/>
            </a:ln>
            <a:effectLst/>
          </c:spPr>
          <c:invertIfNegative val="0"/>
          <c:dLbls>
            <c:spPr>
              <a:noFill/>
              <a:ln>
                <a:noFill/>
              </a:ln>
              <a:effectLst/>
            </c:spPr>
            <c:txPr>
              <a:bodyPr rot="0" vert="horz"/>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Table'!$P$2:$P$5</c:f>
              <c:strCache>
                <c:ptCount val="3"/>
                <c:pt idx="0">
                  <c:v>+40</c:v>
                </c:pt>
                <c:pt idx="1">
                  <c:v>30-40</c:v>
                </c:pt>
                <c:pt idx="2">
                  <c:v>Under 30</c:v>
                </c:pt>
              </c:strCache>
            </c:strRef>
          </c:cat>
          <c:val>
            <c:numRef>
              <c:f>'Pivot Table'!$Q$2:$Q$5</c:f>
              <c:numCache>
                <c:formatCode>General</c:formatCode>
                <c:ptCount val="3"/>
                <c:pt idx="0">
                  <c:v>77</c:v>
                </c:pt>
                <c:pt idx="1">
                  <c:v>70</c:v>
                </c:pt>
                <c:pt idx="2">
                  <c:v>53</c:v>
                </c:pt>
              </c:numCache>
            </c:numRef>
          </c:val>
          <c:extLst>
            <c:ext xmlns:c16="http://schemas.microsoft.com/office/drawing/2014/chart" uri="{C3380CC4-5D6E-409C-BE32-E72D297353CC}">
              <c16:uniqueId val="{00000002-5279-44CB-81BC-7950F9CC4B7E}"/>
            </c:ext>
          </c:extLst>
        </c:ser>
        <c:dLbls>
          <c:dLblPos val="outEnd"/>
          <c:showLegendKey val="0"/>
          <c:showVal val="1"/>
          <c:showCatName val="0"/>
          <c:showSerName val="0"/>
          <c:showPercent val="0"/>
          <c:showBubbleSize val="0"/>
        </c:dLbls>
        <c:gapWidth val="182"/>
        <c:axId val="2115204080"/>
        <c:axId val="2115205160"/>
      </c:barChart>
      <c:catAx>
        <c:axId val="2115204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2115205160"/>
        <c:crosses val="autoZero"/>
        <c:auto val="1"/>
        <c:lblAlgn val="ctr"/>
        <c:lblOffset val="100"/>
        <c:noMultiLvlLbl val="0"/>
      </c:catAx>
      <c:valAx>
        <c:axId val="2115205160"/>
        <c:scaling>
          <c:orientation val="minMax"/>
        </c:scaling>
        <c:delete val="1"/>
        <c:axPos val="b"/>
        <c:numFmt formatCode="General" sourceLinked="1"/>
        <c:majorTickMark val="none"/>
        <c:minorTickMark val="none"/>
        <c:tickLblPos val="nextTo"/>
        <c:crossAx val="2115204080"/>
        <c:crosses val="autoZero"/>
        <c:crossBetween val="between"/>
      </c:valAx>
      <c:spPr>
        <a:noFill/>
      </c:spPr>
    </c:plotArea>
    <c:plotVisOnly val="1"/>
    <c:dispBlanksAs val="gap"/>
    <c:showDLblsOverMax val="0"/>
    <c:extLst/>
  </c:chart>
  <c:spPr>
    <a:noFill/>
    <a:ln w="9525">
      <a:solidFill>
        <a:srgbClr val="FFFFFF"/>
      </a:solidFill>
    </a:ln>
    <a:effectLst>
      <a:outerShdw blurRad="63500" sx="102000" sy="102000" algn="ctr" rotWithShape="0">
        <a:schemeClr val="bg1">
          <a:alpha val="40000"/>
        </a:schemeClr>
      </a:outerShdw>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Dashboard - Copy2.xlsx]Pivot Table!Average of OvertimeHours by performance level</c:name>
    <c:fmtId val="22"/>
  </c:pivotSource>
  <c:chart>
    <c:title>
      <c:tx>
        <c:rich>
          <a:bodyPr rot="0" spcFirstLastPara="1" vertOverflow="ellipsis" vert="horz" wrap="square" anchor="ctr" anchorCtr="1"/>
          <a:lstStyle/>
          <a:p>
            <a:pPr>
              <a:defRPr sz="1200" b="0" i="0" u="none" strike="noStrike" kern="1200" spc="0" baseline="0">
                <a:solidFill>
                  <a:srgbClr val="FFFFFF"/>
                </a:solidFill>
                <a:latin typeface="+mn-lt"/>
                <a:ea typeface="+mn-ea"/>
                <a:cs typeface="+mn-cs"/>
              </a:defRPr>
            </a:pPr>
            <a:r>
              <a:rPr lang="en-US" sz="1200"/>
              <a:t>PerformanceScore Level VS Avg Overtime hours</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FFFFFF"/>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FF"/>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Table'!$C$53</c:f>
              <c:strCache>
                <c:ptCount val="1"/>
                <c:pt idx="0">
                  <c:v>Total</c:v>
                </c:pt>
              </c:strCache>
            </c:strRef>
          </c:tx>
          <c:spPr>
            <a:solidFill>
              <a:srgbClr val="FFFFFF"/>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Table'!$B$54:$B$57</c:f>
              <c:strCache>
                <c:ptCount val="3"/>
                <c:pt idx="0">
                  <c:v>High</c:v>
                </c:pt>
                <c:pt idx="1">
                  <c:v>Medium</c:v>
                </c:pt>
                <c:pt idx="2">
                  <c:v>Low</c:v>
                </c:pt>
              </c:strCache>
            </c:strRef>
          </c:cat>
          <c:val>
            <c:numRef>
              <c:f>'Pivot Table'!$C$54:$C$57</c:f>
              <c:numCache>
                <c:formatCode>0</c:formatCode>
                <c:ptCount val="3"/>
                <c:pt idx="0">
                  <c:v>30.648648648648649</c:v>
                </c:pt>
                <c:pt idx="1">
                  <c:v>30.40909090909091</c:v>
                </c:pt>
                <c:pt idx="2">
                  <c:v>26.906666666666666</c:v>
                </c:pt>
              </c:numCache>
            </c:numRef>
          </c:val>
          <c:extLst>
            <c:ext xmlns:c16="http://schemas.microsoft.com/office/drawing/2014/chart" uri="{C3380CC4-5D6E-409C-BE32-E72D297353CC}">
              <c16:uniqueId val="{00000000-BD2B-4660-AF64-37F537284E5C}"/>
            </c:ext>
          </c:extLst>
        </c:ser>
        <c:dLbls>
          <c:showLegendKey val="0"/>
          <c:showVal val="0"/>
          <c:showCatName val="0"/>
          <c:showSerName val="0"/>
          <c:showPercent val="0"/>
          <c:showBubbleSize val="0"/>
        </c:dLbls>
        <c:gapWidth val="219"/>
        <c:overlap val="-27"/>
        <c:axId val="240084367"/>
        <c:axId val="240086887"/>
      </c:barChart>
      <c:catAx>
        <c:axId val="24008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240086887"/>
        <c:crosses val="autoZero"/>
        <c:auto val="1"/>
        <c:lblAlgn val="ctr"/>
        <c:lblOffset val="100"/>
        <c:noMultiLvlLbl val="0"/>
      </c:catAx>
      <c:valAx>
        <c:axId val="240086887"/>
        <c:scaling>
          <c:orientation val="minMax"/>
        </c:scaling>
        <c:delete val="1"/>
        <c:axPos val="l"/>
        <c:numFmt formatCode="0" sourceLinked="1"/>
        <c:majorTickMark val="none"/>
        <c:minorTickMark val="none"/>
        <c:tickLblPos val="nextTo"/>
        <c:crossAx val="2400843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a:outerShdw blurRad="63500" sx="102000" sy="102000" algn="ctr" rotWithShape="0">
        <a:schemeClr val="bg1">
          <a:alpha val="40000"/>
        </a:schemeClr>
      </a:outerShdw>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r>
              <a:rPr lang="en-US" sz="1100" b="0" i="0" u="none" strike="noStrike" baseline="0"/>
              <a:t>Leavers by Department </a:t>
            </a:r>
            <a:r>
              <a:rPr lang="ar-EG" sz="1100" b="0" i="0" u="none" strike="noStrike" baseline="0"/>
              <a:t>&amp;</a:t>
            </a:r>
            <a:r>
              <a:rPr lang="en-US" sz="1100" b="0" i="0" u="none" strike="noStrike" baseline="0"/>
              <a:t> Year</a:t>
            </a:r>
            <a:r>
              <a:rPr lang="en-US" sz="1100"/>
              <a:t> </a:t>
            </a:r>
          </a:p>
        </c:rich>
      </c:tx>
      <c:layout>
        <c:manualLayout>
          <c:xMode val="edge"/>
          <c:yMode val="edge"/>
          <c:x val="0.29255517554004262"/>
          <c:y val="3.85257090853936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1.6702051672794316E-2"/>
          <c:y val="0"/>
          <c:w val="0.90202339766746653"/>
          <c:h val="0.89552050154203955"/>
        </c:manualLayout>
      </c:layout>
      <c:barChart>
        <c:barDir val="col"/>
        <c:grouping val="stacked"/>
        <c:varyColors val="0"/>
        <c:ser>
          <c:idx val="0"/>
          <c:order val="0"/>
          <c:tx>
            <c:strRef>
              <c:f>'Pivot Table'!$Q$43</c:f>
              <c:strCache>
                <c:ptCount val="1"/>
                <c:pt idx="0">
                  <c:v>Finance</c:v>
                </c:pt>
              </c:strCache>
            </c:strRef>
          </c:tx>
          <c:spPr>
            <a:solidFill>
              <a:srgbClr val="8EAC91"/>
            </a:solidFill>
            <a:ln w="19050">
              <a:solidFill>
                <a:srgbClr val="002060"/>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Table'!$P$44:$P$50</c:f>
              <c:strCache>
                <c:ptCount val="7"/>
                <c:pt idx="0">
                  <c:v>2018</c:v>
                </c:pt>
                <c:pt idx="1">
                  <c:v>2019</c:v>
                </c:pt>
                <c:pt idx="2">
                  <c:v>2020</c:v>
                </c:pt>
                <c:pt idx="3">
                  <c:v>2021</c:v>
                </c:pt>
                <c:pt idx="4">
                  <c:v>2022</c:v>
                </c:pt>
                <c:pt idx="5">
                  <c:v>2023</c:v>
                </c:pt>
                <c:pt idx="6">
                  <c:v>2024</c:v>
                </c:pt>
              </c:strCache>
            </c:strRef>
          </c:cat>
          <c:val>
            <c:numRef>
              <c:f>'Pivot Table'!$Q$44:$Q$50</c:f>
              <c:numCache>
                <c:formatCode>General</c:formatCode>
                <c:ptCount val="7"/>
                <c:pt idx="4">
                  <c:v>2</c:v>
                </c:pt>
                <c:pt idx="5">
                  <c:v>2</c:v>
                </c:pt>
              </c:numCache>
            </c:numRef>
          </c:val>
          <c:extLst>
            <c:ext xmlns:c16="http://schemas.microsoft.com/office/drawing/2014/chart" uri="{C3380CC4-5D6E-409C-BE32-E72D297353CC}">
              <c16:uniqueId val="{00000000-6B5E-4B87-ABA3-24C078F883D7}"/>
            </c:ext>
          </c:extLst>
        </c:ser>
        <c:ser>
          <c:idx val="1"/>
          <c:order val="1"/>
          <c:tx>
            <c:strRef>
              <c:f>'Pivot Table'!$R$43</c:f>
              <c:strCache>
                <c:ptCount val="1"/>
                <c:pt idx="0">
                  <c:v>HR</c:v>
                </c:pt>
              </c:strCache>
            </c:strRef>
          </c:tx>
          <c:spPr>
            <a:solidFill>
              <a:srgbClr val="EE9B00"/>
            </a:solidFill>
            <a:ln w="19050">
              <a:solidFill>
                <a:srgbClr val="002060"/>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Table'!$P$44:$P$50</c:f>
              <c:strCache>
                <c:ptCount val="7"/>
                <c:pt idx="0">
                  <c:v>2018</c:v>
                </c:pt>
                <c:pt idx="1">
                  <c:v>2019</c:v>
                </c:pt>
                <c:pt idx="2">
                  <c:v>2020</c:v>
                </c:pt>
                <c:pt idx="3">
                  <c:v>2021</c:v>
                </c:pt>
                <c:pt idx="4">
                  <c:v>2022</c:v>
                </c:pt>
                <c:pt idx="5">
                  <c:v>2023</c:v>
                </c:pt>
                <c:pt idx="6">
                  <c:v>2024</c:v>
                </c:pt>
              </c:strCache>
            </c:strRef>
          </c:cat>
          <c:val>
            <c:numRef>
              <c:f>'Pivot Table'!$R$44:$R$50</c:f>
              <c:numCache>
                <c:formatCode>General</c:formatCode>
                <c:ptCount val="7"/>
                <c:pt idx="1">
                  <c:v>1</c:v>
                </c:pt>
                <c:pt idx="3">
                  <c:v>1</c:v>
                </c:pt>
                <c:pt idx="5">
                  <c:v>4</c:v>
                </c:pt>
              </c:numCache>
            </c:numRef>
          </c:val>
          <c:extLst>
            <c:ext xmlns:c16="http://schemas.microsoft.com/office/drawing/2014/chart" uri="{C3380CC4-5D6E-409C-BE32-E72D297353CC}">
              <c16:uniqueId val="{00000001-6B5E-4B87-ABA3-24C078F883D7}"/>
            </c:ext>
          </c:extLst>
        </c:ser>
        <c:ser>
          <c:idx val="2"/>
          <c:order val="2"/>
          <c:tx>
            <c:strRef>
              <c:f>'Pivot Table'!$S$43</c:f>
              <c:strCache>
                <c:ptCount val="1"/>
                <c:pt idx="0">
                  <c:v>IT</c:v>
                </c:pt>
              </c:strCache>
            </c:strRef>
          </c:tx>
          <c:spPr>
            <a:solidFill>
              <a:srgbClr val="C1121F"/>
            </a:solidFill>
            <a:ln w="19050">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Table'!$P$44:$P$50</c:f>
              <c:strCache>
                <c:ptCount val="7"/>
                <c:pt idx="0">
                  <c:v>2018</c:v>
                </c:pt>
                <c:pt idx="1">
                  <c:v>2019</c:v>
                </c:pt>
                <c:pt idx="2">
                  <c:v>2020</c:v>
                </c:pt>
                <c:pt idx="3">
                  <c:v>2021</c:v>
                </c:pt>
                <c:pt idx="4">
                  <c:v>2022</c:v>
                </c:pt>
                <c:pt idx="5">
                  <c:v>2023</c:v>
                </c:pt>
                <c:pt idx="6">
                  <c:v>2024</c:v>
                </c:pt>
              </c:strCache>
            </c:strRef>
          </c:cat>
          <c:val>
            <c:numRef>
              <c:f>'Pivot Table'!$S$44:$S$50</c:f>
              <c:numCache>
                <c:formatCode>General</c:formatCode>
                <c:ptCount val="7"/>
                <c:pt idx="0">
                  <c:v>1</c:v>
                </c:pt>
                <c:pt idx="2">
                  <c:v>1</c:v>
                </c:pt>
                <c:pt idx="4">
                  <c:v>1</c:v>
                </c:pt>
                <c:pt idx="5">
                  <c:v>1</c:v>
                </c:pt>
                <c:pt idx="6">
                  <c:v>1</c:v>
                </c:pt>
              </c:numCache>
            </c:numRef>
          </c:val>
          <c:extLst>
            <c:ext xmlns:c16="http://schemas.microsoft.com/office/drawing/2014/chart" uri="{C3380CC4-5D6E-409C-BE32-E72D297353CC}">
              <c16:uniqueId val="{00000002-6B5E-4B87-ABA3-24C078F883D7}"/>
            </c:ext>
          </c:extLst>
        </c:ser>
        <c:ser>
          <c:idx val="3"/>
          <c:order val="3"/>
          <c:tx>
            <c:strRef>
              <c:f>'Pivot Table'!$T$43</c:f>
              <c:strCache>
                <c:ptCount val="1"/>
                <c:pt idx="0">
                  <c:v>Marketing</c:v>
                </c:pt>
              </c:strCache>
            </c:strRef>
          </c:tx>
          <c:spPr>
            <a:solidFill>
              <a:srgbClr val="FDF0D5"/>
            </a:solidFill>
            <a:ln w="19050">
              <a:solidFill>
                <a:srgbClr val="002060"/>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Table'!$P$44:$P$50</c:f>
              <c:strCache>
                <c:ptCount val="7"/>
                <c:pt idx="0">
                  <c:v>2018</c:v>
                </c:pt>
                <c:pt idx="1">
                  <c:v>2019</c:v>
                </c:pt>
                <c:pt idx="2">
                  <c:v>2020</c:v>
                </c:pt>
                <c:pt idx="3">
                  <c:v>2021</c:v>
                </c:pt>
                <c:pt idx="4">
                  <c:v>2022</c:v>
                </c:pt>
                <c:pt idx="5">
                  <c:v>2023</c:v>
                </c:pt>
                <c:pt idx="6">
                  <c:v>2024</c:v>
                </c:pt>
              </c:strCache>
            </c:strRef>
          </c:cat>
          <c:val>
            <c:numRef>
              <c:f>'Pivot Table'!$T$44:$T$50</c:f>
              <c:numCache>
                <c:formatCode>General</c:formatCode>
                <c:ptCount val="7"/>
                <c:pt idx="1">
                  <c:v>1</c:v>
                </c:pt>
                <c:pt idx="5">
                  <c:v>3</c:v>
                </c:pt>
                <c:pt idx="6">
                  <c:v>1</c:v>
                </c:pt>
              </c:numCache>
            </c:numRef>
          </c:val>
          <c:extLst>
            <c:ext xmlns:c16="http://schemas.microsoft.com/office/drawing/2014/chart" uri="{C3380CC4-5D6E-409C-BE32-E72D297353CC}">
              <c16:uniqueId val="{00000003-6B5E-4B87-ABA3-24C078F883D7}"/>
            </c:ext>
          </c:extLst>
        </c:ser>
        <c:ser>
          <c:idx val="4"/>
          <c:order val="4"/>
          <c:tx>
            <c:strRef>
              <c:f>'Pivot Table'!$U$43</c:f>
              <c:strCache>
                <c:ptCount val="1"/>
                <c:pt idx="0">
                  <c:v>Operations</c:v>
                </c:pt>
              </c:strCache>
            </c:strRef>
          </c:tx>
          <c:spPr>
            <a:solidFill>
              <a:srgbClr val="004D74"/>
            </a:solidFill>
            <a:ln w="19050">
              <a:solidFill>
                <a:srgbClr val="002060"/>
              </a:solidFill>
            </a:ln>
            <a:effectLst>
              <a:outerShdw blurRad="50800" dist="50800" dir="5400000" algn="ctr" rotWithShape="0">
                <a:srgbClr val="002060"/>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Table'!$P$44:$P$50</c:f>
              <c:strCache>
                <c:ptCount val="7"/>
                <c:pt idx="0">
                  <c:v>2018</c:v>
                </c:pt>
                <c:pt idx="1">
                  <c:v>2019</c:v>
                </c:pt>
                <c:pt idx="2">
                  <c:v>2020</c:v>
                </c:pt>
                <c:pt idx="3">
                  <c:v>2021</c:v>
                </c:pt>
                <c:pt idx="4">
                  <c:v>2022</c:v>
                </c:pt>
                <c:pt idx="5">
                  <c:v>2023</c:v>
                </c:pt>
                <c:pt idx="6">
                  <c:v>2024</c:v>
                </c:pt>
              </c:strCache>
            </c:strRef>
          </c:cat>
          <c:val>
            <c:numRef>
              <c:f>'Pivot Table'!$U$44:$U$50</c:f>
              <c:numCache>
                <c:formatCode>General</c:formatCode>
                <c:ptCount val="7"/>
                <c:pt idx="2">
                  <c:v>2</c:v>
                </c:pt>
                <c:pt idx="3">
                  <c:v>2</c:v>
                </c:pt>
                <c:pt idx="4">
                  <c:v>1</c:v>
                </c:pt>
                <c:pt idx="5">
                  <c:v>3</c:v>
                </c:pt>
              </c:numCache>
            </c:numRef>
          </c:val>
          <c:extLst>
            <c:ext xmlns:c16="http://schemas.microsoft.com/office/drawing/2014/chart" uri="{C3380CC4-5D6E-409C-BE32-E72D297353CC}">
              <c16:uniqueId val="{00000004-6B5E-4B87-ABA3-24C078F883D7}"/>
            </c:ext>
          </c:extLst>
        </c:ser>
        <c:ser>
          <c:idx val="5"/>
          <c:order val="5"/>
          <c:tx>
            <c:strRef>
              <c:f>'Pivot Table'!$V$43</c:f>
              <c:strCache>
                <c:ptCount val="1"/>
                <c:pt idx="0">
                  <c:v>Sales</c:v>
                </c:pt>
              </c:strCache>
            </c:strRef>
          </c:tx>
          <c:spPr>
            <a:solidFill>
              <a:srgbClr val="669BBC"/>
            </a:solidFill>
            <a:ln w="19050">
              <a:solidFill>
                <a:srgbClr val="002060"/>
              </a:solid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Table'!$P$44:$P$50</c:f>
              <c:strCache>
                <c:ptCount val="7"/>
                <c:pt idx="0">
                  <c:v>2018</c:v>
                </c:pt>
                <c:pt idx="1">
                  <c:v>2019</c:v>
                </c:pt>
                <c:pt idx="2">
                  <c:v>2020</c:v>
                </c:pt>
                <c:pt idx="3">
                  <c:v>2021</c:v>
                </c:pt>
                <c:pt idx="4">
                  <c:v>2022</c:v>
                </c:pt>
                <c:pt idx="5">
                  <c:v>2023</c:v>
                </c:pt>
                <c:pt idx="6">
                  <c:v>2024</c:v>
                </c:pt>
              </c:strCache>
            </c:strRef>
          </c:cat>
          <c:val>
            <c:numRef>
              <c:f>'Pivot Table'!$V$44:$V$50</c:f>
              <c:numCache>
                <c:formatCode>General</c:formatCode>
                <c:ptCount val="7"/>
                <c:pt idx="2">
                  <c:v>2</c:v>
                </c:pt>
                <c:pt idx="4">
                  <c:v>1</c:v>
                </c:pt>
                <c:pt idx="5">
                  <c:v>4</c:v>
                </c:pt>
                <c:pt idx="6">
                  <c:v>3</c:v>
                </c:pt>
              </c:numCache>
            </c:numRef>
          </c:val>
          <c:extLst>
            <c:ext xmlns:c16="http://schemas.microsoft.com/office/drawing/2014/chart" uri="{C3380CC4-5D6E-409C-BE32-E72D297353CC}">
              <c16:uniqueId val="{00000005-6B5E-4B87-ABA3-24C078F883D7}"/>
            </c:ext>
          </c:extLst>
        </c:ser>
        <c:dLbls>
          <c:dLblPos val="ctr"/>
          <c:showLegendKey val="0"/>
          <c:showVal val="1"/>
          <c:showCatName val="0"/>
          <c:showSerName val="0"/>
          <c:showPercent val="0"/>
          <c:showBubbleSize val="0"/>
        </c:dLbls>
        <c:gapWidth val="150"/>
        <c:overlap val="100"/>
        <c:axId val="1081558632"/>
        <c:axId val="1081558272"/>
      </c:barChart>
      <c:catAx>
        <c:axId val="1081558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081558272"/>
        <c:crosses val="autoZero"/>
        <c:auto val="1"/>
        <c:lblAlgn val="ctr"/>
        <c:lblOffset val="100"/>
        <c:noMultiLvlLbl val="0"/>
      </c:catAx>
      <c:valAx>
        <c:axId val="1081558272"/>
        <c:scaling>
          <c:orientation val="minMax"/>
        </c:scaling>
        <c:delete val="1"/>
        <c:axPos val="l"/>
        <c:numFmt formatCode="General" sourceLinked="1"/>
        <c:majorTickMark val="none"/>
        <c:minorTickMark val="none"/>
        <c:tickLblPos val="nextTo"/>
        <c:crossAx val="1081558632"/>
        <c:crosses val="autoZero"/>
        <c:crossBetween val="between"/>
      </c:valAx>
      <c:spPr>
        <a:noFill/>
        <a:ln>
          <a:noFill/>
        </a:ln>
        <a:effectLst/>
      </c:spPr>
    </c:plotArea>
    <c:legend>
      <c:legendPos val="r"/>
      <c:layout>
        <c:manualLayout>
          <c:xMode val="edge"/>
          <c:yMode val="edge"/>
          <c:x val="0.88870433340977484"/>
          <c:y val="7.0072298902876792E-2"/>
          <c:w val="0.10920791013112591"/>
          <c:h val="0.71275089741645181"/>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12700" cap="flat" cmpd="sng" algn="ctr">
      <a:solidFill>
        <a:srgbClr val="FFFFFF"/>
      </a:solidFill>
      <a:round/>
    </a:ln>
    <a:effectLst>
      <a:outerShdw blurRad="63500" sx="102000" sy="102000" algn="ctr" rotWithShape="0">
        <a:schemeClr val="bg1">
          <a:alpha val="40000"/>
        </a:schemeClr>
      </a:outerShdw>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Dashboard - Copy2.xlsx]Pivot Table!AbsenceDays per dapartment</c:name>
    <c:fmtId val="6"/>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baseline="0">
                <a:solidFill>
                  <a:schemeClr val="bg1"/>
                </a:solidFill>
              </a:rPr>
              <a:t>Avg of AbsenceDays per Department</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Table'!$C$32</c:f>
              <c:strCache>
                <c:ptCount val="1"/>
                <c:pt idx="0">
                  <c:v>Total</c:v>
                </c:pt>
              </c:strCache>
            </c:strRef>
          </c:tx>
          <c:spPr>
            <a:solidFill>
              <a:srgbClr val="FFF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Table'!$B$33:$B$39</c:f>
              <c:strCache>
                <c:ptCount val="6"/>
                <c:pt idx="0">
                  <c:v>Operations</c:v>
                </c:pt>
                <c:pt idx="1">
                  <c:v>Marketing</c:v>
                </c:pt>
                <c:pt idx="2">
                  <c:v>HR</c:v>
                </c:pt>
                <c:pt idx="3">
                  <c:v>Sales</c:v>
                </c:pt>
                <c:pt idx="4">
                  <c:v>Finance</c:v>
                </c:pt>
                <c:pt idx="5">
                  <c:v>IT</c:v>
                </c:pt>
              </c:strCache>
            </c:strRef>
          </c:cat>
          <c:val>
            <c:numRef>
              <c:f>'Pivot Table'!$C$33:$C$39</c:f>
              <c:numCache>
                <c:formatCode>0</c:formatCode>
                <c:ptCount val="6"/>
                <c:pt idx="0">
                  <c:v>9.0740740740740744</c:v>
                </c:pt>
                <c:pt idx="1">
                  <c:v>9.6410256410256405</c:v>
                </c:pt>
                <c:pt idx="2">
                  <c:v>11.030303030303031</c:v>
                </c:pt>
                <c:pt idx="3">
                  <c:v>11.5</c:v>
                </c:pt>
                <c:pt idx="4">
                  <c:v>11.709677419354838</c:v>
                </c:pt>
                <c:pt idx="5">
                  <c:v>11.76923076923077</c:v>
                </c:pt>
              </c:numCache>
            </c:numRef>
          </c:val>
          <c:extLst>
            <c:ext xmlns:c16="http://schemas.microsoft.com/office/drawing/2014/chart" uri="{C3380CC4-5D6E-409C-BE32-E72D297353CC}">
              <c16:uniqueId val="{00000000-9C95-4273-B778-E60AA3D9E78C}"/>
            </c:ext>
          </c:extLst>
        </c:ser>
        <c:dLbls>
          <c:dLblPos val="outEnd"/>
          <c:showLegendKey val="0"/>
          <c:showVal val="1"/>
          <c:showCatName val="0"/>
          <c:showSerName val="0"/>
          <c:showPercent val="0"/>
          <c:showBubbleSize val="0"/>
        </c:dLbls>
        <c:gapWidth val="182"/>
        <c:axId val="2117218592"/>
        <c:axId val="2117214632"/>
      </c:barChart>
      <c:catAx>
        <c:axId val="21172185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17214632"/>
        <c:crosses val="autoZero"/>
        <c:auto val="1"/>
        <c:lblAlgn val="ctr"/>
        <c:lblOffset val="100"/>
        <c:noMultiLvlLbl val="0"/>
      </c:catAx>
      <c:valAx>
        <c:axId val="2117214632"/>
        <c:scaling>
          <c:orientation val="minMax"/>
        </c:scaling>
        <c:delete val="1"/>
        <c:axPos val="b"/>
        <c:numFmt formatCode="0" sourceLinked="1"/>
        <c:majorTickMark val="out"/>
        <c:minorTickMark val="none"/>
        <c:tickLblPos val="nextTo"/>
        <c:crossAx val="211721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a:outerShdw blurRad="63500" sx="102000" sy="102000" algn="ctr" rotWithShape="0">
        <a:schemeClr val="bg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Dashboard - Copy2.xlsx]Pivot Table! Employees per daparment</c:name>
    <c:fmtId val="10"/>
  </c:pivotSource>
  <c:chart>
    <c:title>
      <c:tx>
        <c:rich>
          <a:bodyPr rot="0" vert="horz"/>
          <a:lstStyle/>
          <a:p>
            <a:pPr>
              <a:defRPr/>
            </a:pPr>
            <a:r>
              <a:rPr lang="en-US" sz="1200" b="1" i="0" u="none" strike="noStrike" baseline="0"/>
              <a:t>Avg Overtime Hours per Department</a:t>
            </a:r>
            <a:endParaRPr lang="en-US" sz="1050"/>
          </a:p>
        </c:rich>
      </c:tx>
      <c:overlay val="0"/>
      <c:spPr>
        <a:noFill/>
        <a:ln>
          <a:noFill/>
        </a:ln>
        <a:effectLst/>
      </c:sp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FFFFFF"/>
          </a:solidFill>
          <a:ln w="28575" cap="rnd">
            <a:noFill/>
            <a:round/>
          </a:ln>
          <a:effectLst/>
        </c:spPr>
        <c:marker>
          <c:symbol val="none"/>
        </c:marker>
        <c:dLbl>
          <c:idx val="0"/>
          <c:spPr>
            <a:noFill/>
            <a:ln>
              <a:noFill/>
            </a:ln>
            <a:effectLst/>
          </c:spPr>
          <c:txPr>
            <a:bodyPr rot="0" vert="horz"/>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spPr>
          <a:solidFill>
            <a:schemeClr val="bg1"/>
          </a:solidFill>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Table'!$Q$19</c:f>
              <c:strCache>
                <c:ptCount val="1"/>
                <c:pt idx="0">
                  <c:v>Total</c:v>
                </c:pt>
              </c:strCache>
            </c:strRef>
          </c:tx>
          <c:spPr>
            <a:solidFill>
              <a:schemeClr val="bg1"/>
            </a:solidFill>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Table'!$P$20:$P$26</c:f>
              <c:strCache>
                <c:ptCount val="6"/>
                <c:pt idx="0">
                  <c:v>HR</c:v>
                </c:pt>
                <c:pt idx="1">
                  <c:v>Operations</c:v>
                </c:pt>
                <c:pt idx="2">
                  <c:v>Sales</c:v>
                </c:pt>
                <c:pt idx="3">
                  <c:v>Marketing</c:v>
                </c:pt>
                <c:pt idx="4">
                  <c:v>Finance</c:v>
                </c:pt>
                <c:pt idx="5">
                  <c:v>IT</c:v>
                </c:pt>
              </c:strCache>
            </c:strRef>
          </c:cat>
          <c:val>
            <c:numRef>
              <c:f>'Pivot Table'!$Q$20:$Q$26</c:f>
              <c:numCache>
                <c:formatCode>0</c:formatCode>
                <c:ptCount val="6"/>
                <c:pt idx="0">
                  <c:v>26</c:v>
                </c:pt>
                <c:pt idx="1">
                  <c:v>27.333333333333332</c:v>
                </c:pt>
                <c:pt idx="2">
                  <c:v>28.15909090909091</c:v>
                </c:pt>
                <c:pt idx="3">
                  <c:v>30.076923076923077</c:v>
                </c:pt>
                <c:pt idx="4">
                  <c:v>31.612903225806452</c:v>
                </c:pt>
                <c:pt idx="5">
                  <c:v>32.307692307692307</c:v>
                </c:pt>
              </c:numCache>
            </c:numRef>
          </c:val>
          <c:extLst>
            <c:ext xmlns:c16="http://schemas.microsoft.com/office/drawing/2014/chart" uri="{C3380CC4-5D6E-409C-BE32-E72D297353CC}">
              <c16:uniqueId val="{00000000-DE8B-4A5C-B7AE-E0C23DA0444C}"/>
            </c:ext>
          </c:extLst>
        </c:ser>
        <c:dLbls>
          <c:showLegendKey val="0"/>
          <c:showVal val="1"/>
          <c:showCatName val="0"/>
          <c:showSerName val="0"/>
          <c:showPercent val="0"/>
          <c:showBubbleSize val="0"/>
        </c:dLbls>
        <c:gapWidth val="150"/>
        <c:axId val="411357144"/>
        <c:axId val="411358224"/>
      </c:barChart>
      <c:catAx>
        <c:axId val="411357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411358224"/>
        <c:crosses val="autoZero"/>
        <c:auto val="1"/>
        <c:lblAlgn val="ctr"/>
        <c:lblOffset val="100"/>
        <c:noMultiLvlLbl val="0"/>
      </c:catAx>
      <c:valAx>
        <c:axId val="411358224"/>
        <c:scaling>
          <c:orientation val="minMax"/>
        </c:scaling>
        <c:delete val="1"/>
        <c:axPos val="b"/>
        <c:numFmt formatCode="0" sourceLinked="1"/>
        <c:majorTickMark val="none"/>
        <c:minorTickMark val="none"/>
        <c:tickLblPos val="nextTo"/>
        <c:crossAx val="411357144"/>
        <c:crosses val="autoZero"/>
        <c:crossBetween val="between"/>
      </c:valAx>
      <c:spPr>
        <a:noFill/>
      </c:spPr>
    </c:plotArea>
    <c:plotVisOnly val="1"/>
    <c:dispBlanksAs val="gap"/>
    <c:showDLblsOverMax val="0"/>
    <c:extLst/>
  </c:chart>
  <c:spPr>
    <a:noFill/>
    <a:ln w="9525">
      <a:solidFill>
        <a:schemeClr val="bg1"/>
      </a:solidFill>
    </a:ln>
    <a:effectLst>
      <a:outerShdw blurRad="63500" sx="102000" sy="102000" algn="ctr" rotWithShape="0">
        <a:schemeClr val="bg1">
          <a:alpha val="40000"/>
        </a:schemeClr>
      </a:outerShdw>
    </a:effectLst>
  </c:spPr>
  <c:txPr>
    <a:bodyPr/>
    <a:lstStyle/>
    <a:p>
      <a:pPr>
        <a:defRPr>
          <a:solidFill>
            <a:srgbClr val="FFFF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rgbClr val="FFFFFF"/>
                </a:solidFill>
                <a:latin typeface="+mn-lt"/>
                <a:ea typeface="+mn-ea"/>
                <a:cs typeface="+mn-cs"/>
              </a:defRPr>
            </a:pPr>
            <a:r>
              <a:rPr lang="en-US" sz="1200"/>
              <a:t>Avg of AttendanceYears per Department</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FFFFFF"/>
              </a:solidFill>
              <a:latin typeface="+mn-lt"/>
              <a:ea typeface="+mn-ea"/>
              <a:cs typeface="+mn-cs"/>
            </a:defRPr>
          </a:pPr>
          <a:endParaRPr lang="en-US"/>
        </a:p>
      </c:txPr>
    </c:title>
    <c:autoTitleDeleted val="0"/>
    <c:plotArea>
      <c:layout/>
      <c:lineChart>
        <c:grouping val="standard"/>
        <c:varyColors val="0"/>
        <c:ser>
          <c:idx val="0"/>
          <c:order val="0"/>
          <c:tx>
            <c:strRef>
              <c:f>'Pivot Table'!$M$44</c:f>
              <c:strCache>
                <c:ptCount val="1"/>
                <c:pt idx="0">
                  <c:v>Average of AttendanceYears</c:v>
                </c:pt>
              </c:strCache>
            </c:strRef>
          </c:tx>
          <c:spPr>
            <a:ln w="28575" cap="rnd">
              <a:solidFill>
                <a:srgbClr val="FFFFFF"/>
              </a:solidFill>
              <a:round/>
            </a:ln>
            <a:effectLst/>
          </c:spPr>
          <c:marker>
            <c:symbol val="none"/>
          </c:marker>
          <c:dLbls>
            <c:dLbl>
              <c:idx val="0"/>
              <c:layout>
                <c:manualLayout>
                  <c:x val="-2.0325203252032537E-2"/>
                  <c:y val="-5.19480519480519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792-4A04-B3DF-C1E84BA7B3D6}"/>
                </c:ext>
              </c:extLst>
            </c:dLbl>
            <c:dLbl>
              <c:idx val="1"/>
              <c:layout>
                <c:manualLayout>
                  <c:x val="-7.9501359224654414E-3"/>
                  <c:y val="6.50194791985319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792-4A04-B3DF-C1E84BA7B3D6}"/>
                </c:ext>
              </c:extLst>
            </c:dLbl>
            <c:dLbl>
              <c:idx val="2"/>
              <c:layout>
                <c:manualLayout>
                  <c:x val="-2.7100271002710088E-2"/>
                  <c:y val="-7.79220779220779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792-4A04-B3DF-C1E84BA7B3D6}"/>
                </c:ext>
              </c:extLst>
            </c:dLbl>
            <c:dLbl>
              <c:idx val="3"/>
              <c:layout>
                <c:manualLayout>
                  <c:x val="-4.0650406504065102E-2"/>
                  <c:y val="8.44155844155844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792-4A04-B3DF-C1E84BA7B3D6}"/>
                </c:ext>
              </c:extLst>
            </c:dLbl>
            <c:dLbl>
              <c:idx val="4"/>
              <c:layout>
                <c:manualLayout>
                  <c:x val="-6.7750677506775072E-3"/>
                  <c:y val="-5.8441558441558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792-4A04-B3DF-C1E84BA7B3D6}"/>
                </c:ext>
              </c:extLst>
            </c:dLbl>
            <c:spPr>
              <a:noFill/>
              <a:ln>
                <a:noFill/>
              </a:ln>
              <a:effectLst/>
            </c:spPr>
            <c:txPr>
              <a:bodyPr rot="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Table'!$L$45:$L$50</c:f>
              <c:strCache>
                <c:ptCount val="6"/>
                <c:pt idx="0">
                  <c:v>Finance</c:v>
                </c:pt>
                <c:pt idx="1">
                  <c:v>HR</c:v>
                </c:pt>
                <c:pt idx="2">
                  <c:v>IT</c:v>
                </c:pt>
                <c:pt idx="3">
                  <c:v>Marketing</c:v>
                </c:pt>
                <c:pt idx="4">
                  <c:v>Operations</c:v>
                </c:pt>
                <c:pt idx="5">
                  <c:v>Sales</c:v>
                </c:pt>
              </c:strCache>
            </c:strRef>
          </c:cat>
          <c:val>
            <c:numRef>
              <c:f>'Pivot Table'!$M$45:$M$50</c:f>
              <c:numCache>
                <c:formatCode>0.0</c:formatCode>
                <c:ptCount val="6"/>
                <c:pt idx="0">
                  <c:v>4.395161290322581</c:v>
                </c:pt>
                <c:pt idx="1">
                  <c:v>3.6969696969696972</c:v>
                </c:pt>
                <c:pt idx="2">
                  <c:v>4.3108974358974361</c:v>
                </c:pt>
                <c:pt idx="3">
                  <c:v>3.9380341880341878</c:v>
                </c:pt>
                <c:pt idx="4">
                  <c:v>3.9783950617283952</c:v>
                </c:pt>
                <c:pt idx="5">
                  <c:v>3.8087121212121211</c:v>
                </c:pt>
              </c:numCache>
            </c:numRef>
          </c:val>
          <c:smooth val="0"/>
          <c:extLst>
            <c:ext xmlns:c16="http://schemas.microsoft.com/office/drawing/2014/chart" uri="{C3380CC4-5D6E-409C-BE32-E72D297353CC}">
              <c16:uniqueId val="{00000000-B792-4A04-B3DF-C1E84BA7B3D6}"/>
            </c:ext>
          </c:extLst>
        </c:ser>
        <c:dLbls>
          <c:showLegendKey val="0"/>
          <c:showVal val="0"/>
          <c:showCatName val="0"/>
          <c:showSerName val="0"/>
          <c:showPercent val="0"/>
          <c:showBubbleSize val="0"/>
        </c:dLbls>
        <c:smooth val="0"/>
        <c:axId val="240122887"/>
        <c:axId val="240123967"/>
      </c:lineChart>
      <c:catAx>
        <c:axId val="2401228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FFFF"/>
                </a:solidFill>
                <a:latin typeface="+mn-lt"/>
                <a:ea typeface="+mn-ea"/>
                <a:cs typeface="+mn-cs"/>
              </a:defRPr>
            </a:pPr>
            <a:endParaRPr lang="en-US"/>
          </a:p>
        </c:txPr>
        <c:crossAx val="240123967"/>
        <c:crosses val="autoZero"/>
        <c:auto val="1"/>
        <c:lblAlgn val="ctr"/>
        <c:lblOffset val="100"/>
        <c:noMultiLvlLbl val="0"/>
      </c:catAx>
      <c:valAx>
        <c:axId val="240123967"/>
        <c:scaling>
          <c:orientation val="minMax"/>
        </c:scaling>
        <c:delete val="1"/>
        <c:axPos val="l"/>
        <c:numFmt formatCode="0.0" sourceLinked="1"/>
        <c:majorTickMark val="none"/>
        <c:minorTickMark val="none"/>
        <c:tickLblPos val="nextTo"/>
        <c:crossAx val="240122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FFFFFF"/>
      </a:solidFill>
      <a:round/>
    </a:ln>
    <a:effectLst>
      <a:outerShdw blurRad="63500" sx="102000" sy="102000" algn="ctr" rotWithShape="0">
        <a:schemeClr val="bg1">
          <a:alpha val="40000"/>
        </a:schemeClr>
      </a:outerShdw>
    </a:effectLst>
  </c:spPr>
  <c:txPr>
    <a:bodyPr/>
    <a:lstStyle/>
    <a:p>
      <a:pPr>
        <a:defRPr>
          <a:solidFill>
            <a:srgbClr val="FFFFFF"/>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[HR Dashboard - Copy2.xlsx]Pivot Table!PivotTable25</c:name>
    <c:fmtId val="1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200" b="0" i="0" u="none" strike="noStrike" baseline="0">
                <a:solidFill>
                  <a:schemeClr val="bg1"/>
                </a:solidFill>
              </a:rPr>
              <a:t>Training Cost per Department for Top Performer</a:t>
            </a:r>
            <a:endParaRPr lang="en-US" sz="1200">
              <a:solidFill>
                <a:schemeClr val="bg1"/>
              </a:solidFill>
            </a:endParaRPr>
          </a:p>
        </c:rich>
      </c:tx>
      <c:layout>
        <c:manualLayout>
          <c:xMode val="edge"/>
          <c:yMode val="edge"/>
          <c:x val="0.10114659626660395"/>
          <c:y val="4.3558549051446259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Table'!$E$43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Table'!$D$44:$D$50</c:f>
              <c:strCache>
                <c:ptCount val="6"/>
                <c:pt idx="0">
                  <c:v>Finance</c:v>
                </c:pt>
                <c:pt idx="1">
                  <c:v>HR</c:v>
                </c:pt>
                <c:pt idx="2">
                  <c:v>IT</c:v>
                </c:pt>
                <c:pt idx="3">
                  <c:v>Marketing</c:v>
                </c:pt>
                <c:pt idx="4">
                  <c:v>Operations</c:v>
                </c:pt>
                <c:pt idx="5">
                  <c:v>Sales</c:v>
                </c:pt>
              </c:strCache>
            </c:strRef>
          </c:cat>
          <c:val>
            <c:numRef>
              <c:f>'Pivot Table'!$E$44:$E$50</c:f>
              <c:numCache>
                <c:formatCode>0</c:formatCode>
                <c:ptCount val="6"/>
                <c:pt idx="0">
                  <c:v>958.33333333333337</c:v>
                </c:pt>
                <c:pt idx="1">
                  <c:v>1345.5</c:v>
                </c:pt>
                <c:pt idx="2">
                  <c:v>1029</c:v>
                </c:pt>
                <c:pt idx="3">
                  <c:v>1088.5999999999999</c:v>
                </c:pt>
                <c:pt idx="4">
                  <c:v>1115</c:v>
                </c:pt>
                <c:pt idx="5">
                  <c:v>713</c:v>
                </c:pt>
              </c:numCache>
            </c:numRef>
          </c:val>
          <c:extLst>
            <c:ext xmlns:c16="http://schemas.microsoft.com/office/drawing/2014/chart" uri="{C3380CC4-5D6E-409C-BE32-E72D297353CC}">
              <c16:uniqueId val="{00000000-68F2-41B7-A44B-11BA22C1FBE9}"/>
            </c:ext>
          </c:extLst>
        </c:ser>
        <c:dLbls>
          <c:dLblPos val="outEnd"/>
          <c:showLegendKey val="0"/>
          <c:showVal val="1"/>
          <c:showCatName val="0"/>
          <c:showSerName val="0"/>
          <c:showPercent val="0"/>
          <c:showBubbleSize val="0"/>
        </c:dLbls>
        <c:gapWidth val="182"/>
        <c:axId val="432840456"/>
        <c:axId val="788274504"/>
      </c:barChart>
      <c:catAx>
        <c:axId val="432840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88274504"/>
        <c:crosses val="autoZero"/>
        <c:auto val="1"/>
        <c:lblAlgn val="ctr"/>
        <c:lblOffset val="100"/>
        <c:noMultiLvlLbl val="0"/>
      </c:catAx>
      <c:valAx>
        <c:axId val="788274504"/>
        <c:scaling>
          <c:orientation val="minMax"/>
        </c:scaling>
        <c:delete val="1"/>
        <c:axPos val="b"/>
        <c:numFmt formatCode="0" sourceLinked="1"/>
        <c:majorTickMark val="none"/>
        <c:minorTickMark val="none"/>
        <c:tickLblPos val="nextTo"/>
        <c:crossAx val="432840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bg1"/>
      </a:solidFill>
      <a:round/>
    </a:ln>
    <a:effectLst>
      <a:outerShdw blurRad="63500" sx="102000" sy="102000" algn="ctr" rotWithShape="0">
        <a:schemeClr val="bg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Avg of Salary per department</cx:v>
        </cx:txData>
      </cx:tx>
      <cx:txPr>
        <a:bodyPr vertOverflow="overflow" horzOverflow="overflow" wrap="square" lIns="0" tIns="0" rIns="0" bIns="0"/>
        <a:lstStyle/>
        <a:p>
          <a:pPr algn="ctr" rtl="0">
            <a:defRPr sz="1200" b="1" i="0">
              <a:solidFill>
                <a:srgbClr val="FFFFFF"/>
              </a:solidFill>
              <a:latin typeface="Aptos Narrow" panose="020B0004020202020204" pitchFamily="34" charset="0"/>
              <a:ea typeface="Aptos Narrow" panose="020B0004020202020204" pitchFamily="34" charset="0"/>
              <a:cs typeface="Aptos Narrow" panose="020B0004020202020204" pitchFamily="34" charset="0"/>
            </a:defRPr>
          </a:pPr>
          <a:r>
            <a:rPr lang="en-US" sz="1200" b="1">
              <a:solidFill>
                <a:srgbClr val="FFFFFF"/>
              </a:solidFill>
            </a:rPr>
            <a:t>Avg of Salary per department</a:t>
          </a:r>
        </a:p>
      </cx:txPr>
    </cx:title>
    <cx:plotArea>
      <cx:plotAreaRegion>
        <cx:series layoutId="treemap" uniqueId="{3B9D65B0-A100-41AD-A6BA-36F26B3C6B7C}">
          <cx:tx>
            <cx:txData>
              <cx:f>_xlchart.v1.1</cx:f>
              <cx:v>Average of Salary</cx:v>
            </cx:txData>
          </cx:tx>
          <cx:dataLabels>
            <cx:txPr>
              <a:bodyPr vertOverflow="overflow" horzOverflow="overflow" wrap="square" lIns="0" tIns="0" rIns="0" bIns="0"/>
              <a:lstStyle/>
              <a:p>
                <a:pPr algn="ctr" rtl="0">
                  <a:defRPr sz="900" b="1" i="0">
                    <a:solidFill>
                      <a:srgbClr val="FFFFFF"/>
                    </a:solidFill>
                    <a:latin typeface="Aptos Narrow" panose="020B0004020202020204" pitchFamily="34" charset="0"/>
                    <a:ea typeface="Aptos Narrow" panose="020B0004020202020204" pitchFamily="34" charset="0"/>
                    <a:cs typeface="Aptos Narrow" panose="020B0004020202020204" pitchFamily="34" charset="0"/>
                  </a:defRPr>
                </a:pPr>
                <a:endParaRPr lang="en-US" b="1">
                  <a:solidFill>
                    <a:srgbClr val="FFFFFF"/>
                  </a:solidFill>
                </a:endParaRPr>
              </a:p>
            </cx:txPr>
            <cx:visibility seriesName="0" categoryName="1" value="1"/>
            <cx:separator>
</cx:separator>
            <cx:dataLabel idx="5">
              <cx:txPr>
                <a:bodyPr vertOverflow="overflow" horzOverflow="overflow" wrap="square" lIns="0" tIns="0" rIns="0" bIns="0"/>
                <a:lstStyle/>
                <a:p>
                  <a:pPr algn="ctr" rtl="0">
                    <a:defRPr>
                      <a:solidFill>
                        <a:srgbClr val="114E69"/>
                      </a:solidFill>
                    </a:defRPr>
                  </a:pPr>
                  <a:r>
                    <a:rPr lang="en-US">
                      <a:solidFill>
                        <a:srgbClr val="114E69"/>
                      </a:solidFill>
                    </a:rPr>
                    <a:t>HR
8841</a:t>
                  </a:r>
                </a:p>
              </cx:txPr>
            </cx:dataLabel>
          </cx:dataLabels>
          <cx:dataId val="0"/>
          <cx:layoutPr>
            <cx:parentLabelLayout val="overlapping"/>
          </cx:layoutPr>
        </cx:series>
      </cx:plotAreaRegion>
    </cx:plotArea>
  </cx:chart>
  <cx:spPr>
    <a:noFill/>
    <a:ln>
      <a:noFill/>
    </a:ln>
    <a:effectLst>
      <a:glow rad="63500">
        <a:srgbClr val="FFFFFF">
          <a:alpha val="40000"/>
        </a:srgbClr>
      </a:glo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1.xml"/><Relationship Id="rId7"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Department Anlysis'!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Employees Anlysis'!A1"/><Relationship Id="rId7" Type="http://schemas.openxmlformats.org/officeDocument/2006/relationships/chart" Target="../charts/chart7.xml"/><Relationship Id="rId2" Type="http://schemas.openxmlformats.org/officeDocument/2006/relationships/image" Target="../media/image1.png"/><Relationship Id="rId1" Type="http://schemas.openxmlformats.org/officeDocument/2006/relationships/hyperlink" Target="#Insights!A1"/><Relationship Id="rId6" Type="http://schemas.openxmlformats.org/officeDocument/2006/relationships/chart" Target="../charts/chart6.xml"/><Relationship Id="rId5" Type="http://schemas.openxmlformats.org/officeDocument/2006/relationships/image" Target="../media/image2.png"/><Relationship Id="rId10" Type="http://schemas.openxmlformats.org/officeDocument/2006/relationships/chart" Target="../charts/chart9.xml"/><Relationship Id="rId4" Type="http://schemas.openxmlformats.org/officeDocument/2006/relationships/image" Target="../media/image3.png"/><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Department Anlysis'!A1"/></Relationships>
</file>

<file path=xl/drawings/drawing1.xml><?xml version="1.0" encoding="utf-8"?>
<xdr:wsDr xmlns:xdr="http://schemas.openxmlformats.org/drawingml/2006/spreadsheetDrawing" xmlns:a="http://schemas.openxmlformats.org/drawingml/2006/main">
  <xdr:twoCellAnchor>
    <xdr:from>
      <xdr:col>0</xdr:col>
      <xdr:colOff>246089</xdr:colOff>
      <xdr:row>0</xdr:row>
      <xdr:rowOff>0</xdr:rowOff>
    </xdr:from>
    <xdr:to>
      <xdr:col>4</xdr:col>
      <xdr:colOff>91440</xdr:colOff>
      <xdr:row>29</xdr:row>
      <xdr:rowOff>176107</xdr:rowOff>
    </xdr:to>
    <xdr:sp macro="" textlink="">
      <xdr:nvSpPr>
        <xdr:cNvPr id="2" name="Rectangle 1">
          <a:extLst>
            <a:ext uri="{FF2B5EF4-FFF2-40B4-BE49-F238E27FC236}">
              <a16:creationId xmlns:a16="http://schemas.microsoft.com/office/drawing/2014/main" id="{892B51C0-B2FA-4F8E-9AF5-D9DBA4F3107D}"/>
            </a:ext>
          </a:extLst>
        </xdr:cNvPr>
        <xdr:cNvSpPr/>
      </xdr:nvSpPr>
      <xdr:spPr>
        <a:xfrm>
          <a:off x="246089" y="0"/>
          <a:ext cx="2285290" cy="547739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285292</xdr:colOff>
      <xdr:row>1</xdr:row>
      <xdr:rowOff>0</xdr:rowOff>
    </xdr:from>
    <xdr:to>
      <xdr:col>11</xdr:col>
      <xdr:colOff>559612</xdr:colOff>
      <xdr:row>5</xdr:row>
      <xdr:rowOff>77894</xdr:rowOff>
    </xdr:to>
    <xdr:grpSp>
      <xdr:nvGrpSpPr>
        <xdr:cNvPr id="3" name="Group 2">
          <a:extLst>
            <a:ext uri="{FF2B5EF4-FFF2-40B4-BE49-F238E27FC236}">
              <a16:creationId xmlns:a16="http://schemas.microsoft.com/office/drawing/2014/main" id="{7E32022A-62B6-456C-ABC4-2D0B54D77804}"/>
            </a:ext>
          </a:extLst>
        </xdr:cNvPr>
        <xdr:cNvGrpSpPr/>
      </xdr:nvGrpSpPr>
      <xdr:grpSpPr>
        <a:xfrm>
          <a:off x="5162092" y="186267"/>
          <a:ext cx="2103120" cy="822960"/>
          <a:chOff x="4723827" y="186267"/>
          <a:chExt cx="2194560" cy="731520"/>
        </a:xfrm>
      </xdr:grpSpPr>
      <xdr:sp macro="" textlink="">
        <xdr:nvSpPr>
          <xdr:cNvPr id="4" name="Rectangle: Rounded Corners 3">
            <a:extLst>
              <a:ext uri="{FF2B5EF4-FFF2-40B4-BE49-F238E27FC236}">
                <a16:creationId xmlns:a16="http://schemas.microsoft.com/office/drawing/2014/main" id="{9A359BBF-5929-A4E9-35F9-2FB6E4AD60DE}"/>
              </a:ext>
            </a:extLst>
          </xdr:cNvPr>
          <xdr:cNvSpPr/>
        </xdr:nvSpPr>
        <xdr:spPr>
          <a:xfrm>
            <a:off x="4808434" y="186267"/>
            <a:ext cx="2062934" cy="731520"/>
          </a:xfrm>
          <a:prstGeom prst="roundRect">
            <a:avLst/>
          </a:prstGeom>
          <a:solidFill>
            <a:srgbClr val="023047"/>
          </a:solidFill>
          <a:ln w="6350">
            <a:solidFill>
              <a:schemeClr val="bg1"/>
            </a:solidFill>
          </a:ln>
          <a:effectLst>
            <a:glow rad="139700">
              <a:schemeClr val="bg1">
                <a:alpha val="40000"/>
              </a:schemeClr>
            </a:glow>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endParaRPr>
          </a:p>
        </xdr:txBody>
      </xdr:sp>
      <xdr:sp macro="" textlink="">
        <xdr:nvSpPr>
          <xdr:cNvPr id="5" name="TextBox 4">
            <a:extLst>
              <a:ext uri="{FF2B5EF4-FFF2-40B4-BE49-F238E27FC236}">
                <a16:creationId xmlns:a16="http://schemas.microsoft.com/office/drawing/2014/main" id="{0DBB111E-EEA5-0B03-3E83-7CCE43C1B5F8}"/>
              </a:ext>
            </a:extLst>
          </xdr:cNvPr>
          <xdr:cNvSpPr txBox="1"/>
        </xdr:nvSpPr>
        <xdr:spPr>
          <a:xfrm>
            <a:off x="4765264" y="219144"/>
            <a:ext cx="2153123" cy="246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400">
                <a:ln>
                  <a:noFill/>
                </a:ln>
                <a:solidFill>
                  <a:schemeClr val="bg1">
                    <a:lumMod val="95000"/>
                  </a:schemeClr>
                </a:solidFill>
              </a:rPr>
              <a:t>90-Day failure Rate</a:t>
            </a:r>
          </a:p>
        </xdr:txBody>
      </xdr:sp>
      <xdr:sp macro="" textlink="'Pivot Table'!J24">
        <xdr:nvSpPr>
          <xdr:cNvPr id="6" name="TextBox 5">
            <a:extLst>
              <a:ext uri="{FF2B5EF4-FFF2-40B4-BE49-F238E27FC236}">
                <a16:creationId xmlns:a16="http://schemas.microsoft.com/office/drawing/2014/main" id="{EA254C7C-F665-2386-594B-A258C1BFE512}"/>
              </a:ext>
            </a:extLst>
          </xdr:cNvPr>
          <xdr:cNvSpPr txBox="1"/>
        </xdr:nvSpPr>
        <xdr:spPr>
          <a:xfrm>
            <a:off x="4723827" y="493582"/>
            <a:ext cx="2172653" cy="340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7D797D7C-9BEA-4A53-B713-8969FF70BBBD}" type="TxLink">
              <a:rPr lang="en-US" sz="1800" b="0" i="0" u="none" strike="noStrike">
                <a:ln>
                  <a:noFill/>
                </a:ln>
                <a:solidFill>
                  <a:schemeClr val="bg1"/>
                </a:solidFill>
                <a:latin typeface="Aptos Narrow"/>
              </a:rPr>
              <a:pPr algn="ctr"/>
              <a:t>1%</a:t>
            </a:fld>
            <a:endParaRPr lang="en-US" sz="4400">
              <a:ln>
                <a:noFill/>
              </a:ln>
              <a:solidFill>
                <a:schemeClr val="bg1"/>
              </a:solidFill>
            </a:endParaRPr>
          </a:p>
        </xdr:txBody>
      </xdr:sp>
    </xdr:grpSp>
    <xdr:clientData/>
  </xdr:twoCellAnchor>
  <xdr:twoCellAnchor editAs="oneCell">
    <xdr:from>
      <xdr:col>0</xdr:col>
      <xdr:colOff>321818</xdr:colOff>
      <xdr:row>3</xdr:row>
      <xdr:rowOff>124200</xdr:rowOff>
    </xdr:from>
    <xdr:to>
      <xdr:col>4</xdr:col>
      <xdr:colOff>1778</xdr:colOff>
      <xdr:row>10</xdr:row>
      <xdr:rowOff>9053</xdr:rowOff>
    </xdr:to>
    <mc:AlternateContent xmlns:mc="http://schemas.openxmlformats.org/markup-compatibility/2006" xmlns:a14="http://schemas.microsoft.com/office/drawing/2010/main">
      <mc:Choice Requires="a14">
        <xdr:graphicFrame macro="">
          <xdr:nvGraphicFramePr>
            <xdr:cNvPr id="7" name="Department 2">
              <a:extLst>
                <a:ext uri="{FF2B5EF4-FFF2-40B4-BE49-F238E27FC236}">
                  <a16:creationId xmlns:a16="http://schemas.microsoft.com/office/drawing/2014/main" id="{497CEC90-D975-4BF4-B03F-B4202B7ABA0C}"/>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321818" y="683000"/>
              <a:ext cx="211836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229282</xdr:colOff>
      <xdr:row>0</xdr:row>
      <xdr:rowOff>143934</xdr:rowOff>
    </xdr:from>
    <xdr:to>
      <xdr:col>25</xdr:col>
      <xdr:colOff>397933</xdr:colOff>
      <xdr:row>4</xdr:row>
      <xdr:rowOff>177118</xdr:rowOff>
    </xdr:to>
    <xdr:pic>
      <xdr:nvPicPr>
        <xdr:cNvPr id="8" name="Picture 7">
          <a:hlinkClick xmlns:r="http://schemas.openxmlformats.org/officeDocument/2006/relationships" r:id="rId1"/>
          <a:extLst>
            <a:ext uri="{FF2B5EF4-FFF2-40B4-BE49-F238E27FC236}">
              <a16:creationId xmlns:a16="http://schemas.microsoft.com/office/drawing/2014/main" id="{19EA65F1-F6A3-46AC-B400-4550EC46B71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14859682" y="143934"/>
          <a:ext cx="778251" cy="764704"/>
        </a:xfrm>
        <a:prstGeom prst="rect">
          <a:avLst/>
        </a:prstGeom>
      </xdr:spPr>
    </xdr:pic>
    <xdr:clientData/>
  </xdr:twoCellAnchor>
  <xdr:twoCellAnchor>
    <xdr:from>
      <xdr:col>12</xdr:col>
      <xdr:colOff>184497</xdr:colOff>
      <xdr:row>1</xdr:row>
      <xdr:rowOff>0</xdr:rowOff>
    </xdr:from>
    <xdr:to>
      <xdr:col>15</xdr:col>
      <xdr:colOff>458817</xdr:colOff>
      <xdr:row>5</xdr:row>
      <xdr:rowOff>77894</xdr:rowOff>
    </xdr:to>
    <xdr:grpSp>
      <xdr:nvGrpSpPr>
        <xdr:cNvPr id="10" name="Group 9">
          <a:extLst>
            <a:ext uri="{FF2B5EF4-FFF2-40B4-BE49-F238E27FC236}">
              <a16:creationId xmlns:a16="http://schemas.microsoft.com/office/drawing/2014/main" id="{EF5F4592-F0AA-491E-B69F-282236A1A52B}"/>
            </a:ext>
          </a:extLst>
        </xdr:cNvPr>
        <xdr:cNvGrpSpPr/>
      </xdr:nvGrpSpPr>
      <xdr:grpSpPr>
        <a:xfrm>
          <a:off x="7499697" y="186267"/>
          <a:ext cx="2103120" cy="822960"/>
          <a:chOff x="4723827" y="186267"/>
          <a:chExt cx="2194560" cy="731520"/>
        </a:xfrm>
      </xdr:grpSpPr>
      <xdr:sp macro="" textlink="">
        <xdr:nvSpPr>
          <xdr:cNvPr id="11" name="Rectangle: Rounded Corners 10">
            <a:extLst>
              <a:ext uri="{FF2B5EF4-FFF2-40B4-BE49-F238E27FC236}">
                <a16:creationId xmlns:a16="http://schemas.microsoft.com/office/drawing/2014/main" id="{BF7FF7D6-CC70-0938-1537-BA9D2156CD26}"/>
              </a:ext>
            </a:extLst>
          </xdr:cNvPr>
          <xdr:cNvSpPr/>
        </xdr:nvSpPr>
        <xdr:spPr>
          <a:xfrm>
            <a:off x="4808434" y="186267"/>
            <a:ext cx="2062934" cy="731520"/>
          </a:xfrm>
          <a:prstGeom prst="roundRect">
            <a:avLst/>
          </a:prstGeom>
          <a:solidFill>
            <a:srgbClr val="023047"/>
          </a:solidFill>
          <a:ln w="6350">
            <a:solidFill>
              <a:schemeClr val="bg1"/>
            </a:solidFill>
          </a:ln>
          <a:effectLst>
            <a:glow rad="139700">
              <a:schemeClr val="bg1">
                <a:alpha val="40000"/>
              </a:schemeClr>
            </a:glow>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endParaRPr>
          </a:p>
        </xdr:txBody>
      </xdr:sp>
      <xdr:sp macro="" textlink="">
        <xdr:nvSpPr>
          <xdr:cNvPr id="12" name="TextBox 11">
            <a:extLst>
              <a:ext uri="{FF2B5EF4-FFF2-40B4-BE49-F238E27FC236}">
                <a16:creationId xmlns:a16="http://schemas.microsoft.com/office/drawing/2014/main" id="{FC814DFB-DD61-C04B-B69E-5F71C6D4C423}"/>
              </a:ext>
            </a:extLst>
          </xdr:cNvPr>
          <xdr:cNvSpPr txBox="1"/>
        </xdr:nvSpPr>
        <xdr:spPr>
          <a:xfrm>
            <a:off x="4765264" y="219144"/>
            <a:ext cx="2153123" cy="246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400">
                <a:ln>
                  <a:noFill/>
                </a:ln>
                <a:solidFill>
                  <a:schemeClr val="bg1">
                    <a:lumMod val="95000"/>
                  </a:schemeClr>
                </a:solidFill>
              </a:rPr>
              <a:t>Avg</a:t>
            </a:r>
            <a:r>
              <a:rPr lang="en-US" sz="1400" baseline="0">
                <a:ln>
                  <a:noFill/>
                </a:ln>
                <a:solidFill>
                  <a:schemeClr val="bg1">
                    <a:lumMod val="95000"/>
                  </a:schemeClr>
                </a:solidFill>
              </a:rPr>
              <a:t> of Overtime Hour</a:t>
            </a:r>
            <a:endParaRPr lang="en-US" sz="1400">
              <a:ln>
                <a:noFill/>
              </a:ln>
              <a:solidFill>
                <a:schemeClr val="bg1">
                  <a:lumMod val="95000"/>
                </a:schemeClr>
              </a:solidFill>
            </a:endParaRPr>
          </a:p>
        </xdr:txBody>
      </xdr:sp>
      <xdr:sp macro="" textlink="'Pivot Table'!D12">
        <xdr:nvSpPr>
          <xdr:cNvPr id="13" name="TextBox 12">
            <a:extLst>
              <a:ext uri="{FF2B5EF4-FFF2-40B4-BE49-F238E27FC236}">
                <a16:creationId xmlns:a16="http://schemas.microsoft.com/office/drawing/2014/main" id="{C694759C-21E4-450B-83E4-21ADB230A24B}"/>
              </a:ext>
            </a:extLst>
          </xdr:cNvPr>
          <xdr:cNvSpPr txBox="1"/>
        </xdr:nvSpPr>
        <xdr:spPr>
          <a:xfrm>
            <a:off x="4723827" y="493582"/>
            <a:ext cx="2172653" cy="340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A4596BB3-707F-4957-B770-3400813FA6F2}" type="TxLink">
              <a:rPr lang="en-US" sz="1800" b="0" i="0" u="none" strike="noStrike">
                <a:ln>
                  <a:noFill/>
                </a:ln>
                <a:solidFill>
                  <a:schemeClr val="bg1"/>
                </a:solidFill>
                <a:latin typeface="Aptos Narrow"/>
              </a:rPr>
              <a:t>29</a:t>
            </a:fld>
            <a:endParaRPr lang="en-US" sz="4400">
              <a:ln>
                <a:noFill/>
              </a:ln>
              <a:solidFill>
                <a:schemeClr val="bg1"/>
              </a:solidFill>
            </a:endParaRPr>
          </a:p>
        </xdr:txBody>
      </xdr:sp>
    </xdr:grpSp>
    <xdr:clientData/>
  </xdr:twoCellAnchor>
  <xdr:twoCellAnchor>
    <xdr:from>
      <xdr:col>16</xdr:col>
      <xdr:colOff>83702</xdr:colOff>
      <xdr:row>1</xdr:row>
      <xdr:rowOff>0</xdr:rowOff>
    </xdr:from>
    <xdr:to>
      <xdr:col>19</xdr:col>
      <xdr:colOff>318313</xdr:colOff>
      <xdr:row>5</xdr:row>
      <xdr:rowOff>77894</xdr:rowOff>
    </xdr:to>
    <xdr:grpSp>
      <xdr:nvGrpSpPr>
        <xdr:cNvPr id="14" name="Group 13">
          <a:extLst>
            <a:ext uri="{FF2B5EF4-FFF2-40B4-BE49-F238E27FC236}">
              <a16:creationId xmlns:a16="http://schemas.microsoft.com/office/drawing/2014/main" id="{18843CFD-A5F1-4906-A24E-78BEF21B671C}"/>
            </a:ext>
          </a:extLst>
        </xdr:cNvPr>
        <xdr:cNvGrpSpPr/>
      </xdr:nvGrpSpPr>
      <xdr:grpSpPr>
        <a:xfrm>
          <a:off x="9837302" y="186267"/>
          <a:ext cx="2063411" cy="822960"/>
          <a:chOff x="4765264" y="186267"/>
          <a:chExt cx="2153123" cy="731520"/>
        </a:xfrm>
      </xdr:grpSpPr>
      <xdr:sp macro="" textlink="">
        <xdr:nvSpPr>
          <xdr:cNvPr id="15" name="Rectangle: Rounded Corners 14">
            <a:extLst>
              <a:ext uri="{FF2B5EF4-FFF2-40B4-BE49-F238E27FC236}">
                <a16:creationId xmlns:a16="http://schemas.microsoft.com/office/drawing/2014/main" id="{164A62C9-24A1-7151-AC54-646BBDB612E4}"/>
              </a:ext>
            </a:extLst>
          </xdr:cNvPr>
          <xdr:cNvSpPr/>
        </xdr:nvSpPr>
        <xdr:spPr>
          <a:xfrm>
            <a:off x="4808434" y="186267"/>
            <a:ext cx="2062934" cy="731520"/>
          </a:xfrm>
          <a:prstGeom prst="roundRect">
            <a:avLst/>
          </a:prstGeom>
          <a:solidFill>
            <a:srgbClr val="023047"/>
          </a:solidFill>
          <a:ln w="6350">
            <a:solidFill>
              <a:schemeClr val="bg1"/>
            </a:solidFill>
          </a:ln>
          <a:effectLst>
            <a:glow rad="139700">
              <a:schemeClr val="bg1">
                <a:alpha val="40000"/>
              </a:schemeClr>
            </a:glow>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endParaRPr>
          </a:p>
        </xdr:txBody>
      </xdr:sp>
      <xdr:sp macro="" textlink="">
        <xdr:nvSpPr>
          <xdr:cNvPr id="16" name="TextBox 15">
            <a:extLst>
              <a:ext uri="{FF2B5EF4-FFF2-40B4-BE49-F238E27FC236}">
                <a16:creationId xmlns:a16="http://schemas.microsoft.com/office/drawing/2014/main" id="{258B90B7-9567-6E6D-092E-E91BA9C6E6C5}"/>
              </a:ext>
            </a:extLst>
          </xdr:cNvPr>
          <xdr:cNvSpPr txBox="1"/>
        </xdr:nvSpPr>
        <xdr:spPr>
          <a:xfrm>
            <a:off x="4765264" y="219144"/>
            <a:ext cx="2153123" cy="246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400">
                <a:ln>
                  <a:noFill/>
                </a:ln>
                <a:solidFill>
                  <a:schemeClr val="bg1">
                    <a:lumMod val="95000"/>
                  </a:schemeClr>
                </a:solidFill>
              </a:rPr>
              <a:t>Avg</a:t>
            </a:r>
            <a:r>
              <a:rPr lang="en-US" sz="1400" baseline="0">
                <a:ln>
                  <a:noFill/>
                </a:ln>
                <a:solidFill>
                  <a:schemeClr val="bg1">
                    <a:lumMod val="95000"/>
                  </a:schemeClr>
                </a:solidFill>
              </a:rPr>
              <a:t> </a:t>
            </a:r>
            <a:r>
              <a:rPr lang="en-US" sz="1400">
                <a:ln>
                  <a:noFill/>
                </a:ln>
                <a:solidFill>
                  <a:schemeClr val="bg1">
                    <a:lumMod val="95000"/>
                  </a:schemeClr>
                </a:solidFill>
              </a:rPr>
              <a:t>of Satisfaction </a:t>
            </a:r>
            <a:r>
              <a:rPr lang="en-US" sz="1600">
                <a:ln>
                  <a:noFill/>
                </a:ln>
                <a:solidFill>
                  <a:schemeClr val="bg1">
                    <a:lumMod val="95000"/>
                  </a:schemeClr>
                </a:solidFill>
              </a:rPr>
              <a:t>/5</a:t>
            </a:r>
            <a:endParaRPr lang="en-US" sz="1400">
              <a:ln>
                <a:noFill/>
              </a:ln>
              <a:solidFill>
                <a:schemeClr val="bg1">
                  <a:lumMod val="95000"/>
                </a:schemeClr>
              </a:solidFill>
            </a:endParaRPr>
          </a:p>
        </xdr:txBody>
      </xdr:sp>
      <xdr:sp macro="" textlink="'Pivot Table'!F20">
        <xdr:nvSpPr>
          <xdr:cNvPr id="17" name="TextBox 16">
            <a:extLst>
              <a:ext uri="{FF2B5EF4-FFF2-40B4-BE49-F238E27FC236}">
                <a16:creationId xmlns:a16="http://schemas.microsoft.com/office/drawing/2014/main" id="{67A579F9-1767-8BA6-0169-0C1158C08EDC}"/>
              </a:ext>
            </a:extLst>
          </xdr:cNvPr>
          <xdr:cNvSpPr txBox="1"/>
        </xdr:nvSpPr>
        <xdr:spPr>
          <a:xfrm>
            <a:off x="4891689" y="493582"/>
            <a:ext cx="1883122" cy="340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688C2A3A-66F4-4050-86EF-91F956178147}" type="TxLink">
              <a:rPr lang="en-US" sz="1800" b="0" i="0" u="none" strike="noStrike">
                <a:ln>
                  <a:noFill/>
                </a:ln>
                <a:solidFill>
                  <a:schemeClr val="bg1"/>
                </a:solidFill>
                <a:latin typeface="Aptos Narrow"/>
              </a:rPr>
              <a:pPr algn="ctr"/>
              <a:t>3.1</a:t>
            </a:fld>
            <a:endParaRPr lang="en-US" sz="2800">
              <a:ln>
                <a:noFill/>
              </a:ln>
              <a:solidFill>
                <a:schemeClr val="bg1"/>
              </a:solidFill>
            </a:endParaRPr>
          </a:p>
        </xdr:txBody>
      </xdr:sp>
    </xdr:grpSp>
    <xdr:clientData/>
  </xdr:twoCellAnchor>
  <xdr:twoCellAnchor>
    <xdr:from>
      <xdr:col>19</xdr:col>
      <xdr:colOff>552798</xdr:colOff>
      <xdr:row>1</xdr:row>
      <xdr:rowOff>0</xdr:rowOff>
    </xdr:from>
    <xdr:to>
      <xdr:col>23</xdr:col>
      <xdr:colOff>177808</xdr:colOff>
      <xdr:row>5</xdr:row>
      <xdr:rowOff>77894</xdr:rowOff>
    </xdr:to>
    <xdr:grpSp>
      <xdr:nvGrpSpPr>
        <xdr:cNvPr id="18" name="Group 17">
          <a:extLst>
            <a:ext uri="{FF2B5EF4-FFF2-40B4-BE49-F238E27FC236}">
              <a16:creationId xmlns:a16="http://schemas.microsoft.com/office/drawing/2014/main" id="{FE396BAC-34F2-4C6F-9DFF-B5F9D9D37FEC}"/>
            </a:ext>
          </a:extLst>
        </xdr:cNvPr>
        <xdr:cNvGrpSpPr/>
      </xdr:nvGrpSpPr>
      <xdr:grpSpPr>
        <a:xfrm>
          <a:off x="12135198" y="186267"/>
          <a:ext cx="2063410" cy="822960"/>
          <a:chOff x="4765264" y="186267"/>
          <a:chExt cx="2153123" cy="731520"/>
        </a:xfrm>
      </xdr:grpSpPr>
      <xdr:sp macro="" textlink="">
        <xdr:nvSpPr>
          <xdr:cNvPr id="19" name="Rectangle: Rounded Corners 18">
            <a:extLst>
              <a:ext uri="{FF2B5EF4-FFF2-40B4-BE49-F238E27FC236}">
                <a16:creationId xmlns:a16="http://schemas.microsoft.com/office/drawing/2014/main" id="{B1535400-238E-1FBC-2E62-770213880842}"/>
              </a:ext>
            </a:extLst>
          </xdr:cNvPr>
          <xdr:cNvSpPr/>
        </xdr:nvSpPr>
        <xdr:spPr>
          <a:xfrm>
            <a:off x="4808434" y="186267"/>
            <a:ext cx="2062934" cy="731520"/>
          </a:xfrm>
          <a:prstGeom prst="roundRect">
            <a:avLst/>
          </a:prstGeom>
          <a:solidFill>
            <a:srgbClr val="023047"/>
          </a:solidFill>
          <a:ln w="6350">
            <a:solidFill>
              <a:schemeClr val="bg1"/>
            </a:solidFill>
          </a:ln>
          <a:effectLst>
            <a:glow rad="139700">
              <a:schemeClr val="bg1">
                <a:alpha val="40000"/>
              </a:schemeClr>
            </a:glow>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endParaRPr>
          </a:p>
        </xdr:txBody>
      </xdr:sp>
      <xdr:sp macro="" textlink="">
        <xdr:nvSpPr>
          <xdr:cNvPr id="20" name="TextBox 19">
            <a:extLst>
              <a:ext uri="{FF2B5EF4-FFF2-40B4-BE49-F238E27FC236}">
                <a16:creationId xmlns:a16="http://schemas.microsoft.com/office/drawing/2014/main" id="{F3F844DE-5D8A-0B30-6D89-6414DED02FE7}"/>
              </a:ext>
            </a:extLst>
          </xdr:cNvPr>
          <xdr:cNvSpPr txBox="1"/>
        </xdr:nvSpPr>
        <xdr:spPr>
          <a:xfrm>
            <a:off x="4765264" y="219144"/>
            <a:ext cx="2153123" cy="246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400">
                <a:ln>
                  <a:noFill/>
                </a:ln>
                <a:solidFill>
                  <a:schemeClr val="bg1">
                    <a:lumMod val="95000"/>
                  </a:schemeClr>
                </a:solidFill>
              </a:rPr>
              <a:t>Avg</a:t>
            </a:r>
            <a:r>
              <a:rPr lang="en-US" sz="1400" baseline="0">
                <a:ln>
                  <a:noFill/>
                </a:ln>
                <a:solidFill>
                  <a:schemeClr val="bg1">
                    <a:lumMod val="95000"/>
                  </a:schemeClr>
                </a:solidFill>
              </a:rPr>
              <a:t> </a:t>
            </a:r>
            <a:r>
              <a:rPr lang="en-US" sz="1400">
                <a:ln>
                  <a:noFill/>
                </a:ln>
                <a:solidFill>
                  <a:schemeClr val="bg1">
                    <a:lumMod val="95000"/>
                  </a:schemeClr>
                </a:solidFill>
              </a:rPr>
              <a:t>of Engagement </a:t>
            </a:r>
            <a:r>
              <a:rPr lang="en-US" sz="1600">
                <a:ln>
                  <a:noFill/>
                </a:ln>
                <a:solidFill>
                  <a:schemeClr val="bg1">
                    <a:lumMod val="95000"/>
                  </a:schemeClr>
                </a:solidFill>
              </a:rPr>
              <a:t>/5</a:t>
            </a:r>
            <a:endParaRPr lang="en-US" sz="1400">
              <a:ln>
                <a:noFill/>
              </a:ln>
              <a:solidFill>
                <a:schemeClr val="bg1">
                  <a:lumMod val="95000"/>
                </a:schemeClr>
              </a:solidFill>
            </a:endParaRPr>
          </a:p>
        </xdr:txBody>
      </xdr:sp>
      <xdr:sp macro="" textlink="'Pivot Table'!D16">
        <xdr:nvSpPr>
          <xdr:cNvPr id="21" name="TextBox 20">
            <a:extLst>
              <a:ext uri="{FF2B5EF4-FFF2-40B4-BE49-F238E27FC236}">
                <a16:creationId xmlns:a16="http://schemas.microsoft.com/office/drawing/2014/main" id="{5A574A9F-C606-9500-6685-D9EAFF1B267A}"/>
              </a:ext>
            </a:extLst>
          </xdr:cNvPr>
          <xdr:cNvSpPr txBox="1"/>
        </xdr:nvSpPr>
        <xdr:spPr>
          <a:xfrm>
            <a:off x="4927028" y="493582"/>
            <a:ext cx="1849994" cy="340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A6654F8C-C820-443F-A412-E08EABB52F6F}" type="TxLink">
              <a:rPr lang="en-US" sz="1800" b="0" i="0" u="none" strike="noStrike">
                <a:ln>
                  <a:noFill/>
                </a:ln>
                <a:solidFill>
                  <a:schemeClr val="bg1"/>
                </a:solidFill>
                <a:latin typeface="Aptos Narrow"/>
              </a:rPr>
              <a:pPr algn="ctr"/>
              <a:t>3.0</a:t>
            </a:fld>
            <a:endParaRPr lang="en-US" sz="2800">
              <a:ln>
                <a:noFill/>
              </a:ln>
              <a:solidFill>
                <a:schemeClr val="bg1"/>
              </a:solidFill>
            </a:endParaRPr>
          </a:p>
        </xdr:txBody>
      </xdr:sp>
    </xdr:grpSp>
    <xdr:clientData/>
  </xdr:twoCellAnchor>
  <xdr:twoCellAnchor>
    <xdr:from>
      <xdr:col>4</xdr:col>
      <xdr:colOff>386087</xdr:colOff>
      <xdr:row>1</xdr:row>
      <xdr:rowOff>0</xdr:rowOff>
    </xdr:from>
    <xdr:to>
      <xdr:col>8</xdr:col>
      <xdr:colOff>50807</xdr:colOff>
      <xdr:row>5</xdr:row>
      <xdr:rowOff>77894</xdr:rowOff>
    </xdr:to>
    <xdr:grpSp>
      <xdr:nvGrpSpPr>
        <xdr:cNvPr id="22" name="Group 21">
          <a:extLst>
            <a:ext uri="{FF2B5EF4-FFF2-40B4-BE49-F238E27FC236}">
              <a16:creationId xmlns:a16="http://schemas.microsoft.com/office/drawing/2014/main" id="{3FC75E6C-63D6-40A5-B245-5E487782A3BF}"/>
            </a:ext>
          </a:extLst>
        </xdr:cNvPr>
        <xdr:cNvGrpSpPr/>
      </xdr:nvGrpSpPr>
      <xdr:grpSpPr>
        <a:xfrm>
          <a:off x="2824487" y="186267"/>
          <a:ext cx="2103120" cy="822960"/>
          <a:chOff x="4723827" y="186267"/>
          <a:chExt cx="2194560" cy="731520"/>
        </a:xfrm>
      </xdr:grpSpPr>
      <xdr:sp macro="" textlink="">
        <xdr:nvSpPr>
          <xdr:cNvPr id="23" name="Rectangle: Rounded Corners 22">
            <a:extLst>
              <a:ext uri="{FF2B5EF4-FFF2-40B4-BE49-F238E27FC236}">
                <a16:creationId xmlns:a16="http://schemas.microsoft.com/office/drawing/2014/main" id="{5623916E-BB1E-8CD4-4BBB-781B4C474ED1}"/>
              </a:ext>
            </a:extLst>
          </xdr:cNvPr>
          <xdr:cNvSpPr/>
        </xdr:nvSpPr>
        <xdr:spPr>
          <a:xfrm>
            <a:off x="4808434" y="186267"/>
            <a:ext cx="2062934" cy="731520"/>
          </a:xfrm>
          <a:prstGeom prst="roundRect">
            <a:avLst/>
          </a:prstGeom>
          <a:solidFill>
            <a:srgbClr val="023047"/>
          </a:solidFill>
          <a:ln w="6350">
            <a:solidFill>
              <a:schemeClr val="bg1"/>
            </a:solidFill>
          </a:ln>
          <a:effectLst>
            <a:glow rad="139700">
              <a:schemeClr val="bg1">
                <a:alpha val="40000"/>
              </a:schemeClr>
            </a:glow>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endParaRPr>
          </a:p>
        </xdr:txBody>
      </xdr:sp>
      <xdr:sp macro="" textlink="">
        <xdr:nvSpPr>
          <xdr:cNvPr id="24" name="TextBox 23">
            <a:extLst>
              <a:ext uri="{FF2B5EF4-FFF2-40B4-BE49-F238E27FC236}">
                <a16:creationId xmlns:a16="http://schemas.microsoft.com/office/drawing/2014/main" id="{480901ED-E77F-58AE-6E2A-D45713BC3B6E}"/>
              </a:ext>
            </a:extLst>
          </xdr:cNvPr>
          <xdr:cNvSpPr txBox="1"/>
        </xdr:nvSpPr>
        <xdr:spPr>
          <a:xfrm>
            <a:off x="4765264" y="219144"/>
            <a:ext cx="2153123" cy="246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400">
                <a:ln>
                  <a:noFill/>
                </a:ln>
                <a:solidFill>
                  <a:schemeClr val="bg1">
                    <a:lumMod val="95000"/>
                  </a:schemeClr>
                </a:solidFill>
              </a:rPr>
              <a:t>Turnover</a:t>
            </a:r>
            <a:r>
              <a:rPr lang="en-US" sz="1400" baseline="0">
                <a:ln>
                  <a:noFill/>
                </a:ln>
                <a:solidFill>
                  <a:schemeClr val="bg1">
                    <a:lumMod val="95000"/>
                  </a:schemeClr>
                </a:solidFill>
              </a:rPr>
              <a:t> Rate</a:t>
            </a:r>
            <a:endParaRPr lang="en-US" sz="1400">
              <a:ln>
                <a:noFill/>
              </a:ln>
              <a:solidFill>
                <a:schemeClr val="bg1">
                  <a:lumMod val="95000"/>
                </a:schemeClr>
              </a:solidFill>
            </a:endParaRPr>
          </a:p>
        </xdr:txBody>
      </xdr:sp>
      <xdr:sp macro="" textlink="'Pivot Table'!E2">
        <xdr:nvSpPr>
          <xdr:cNvPr id="25" name="TextBox 24">
            <a:extLst>
              <a:ext uri="{FF2B5EF4-FFF2-40B4-BE49-F238E27FC236}">
                <a16:creationId xmlns:a16="http://schemas.microsoft.com/office/drawing/2014/main" id="{FA7227C2-1449-06D4-BBA8-AFC56E0972B0}"/>
              </a:ext>
            </a:extLst>
          </xdr:cNvPr>
          <xdr:cNvSpPr txBox="1"/>
        </xdr:nvSpPr>
        <xdr:spPr>
          <a:xfrm>
            <a:off x="4723827" y="493582"/>
            <a:ext cx="2172653" cy="340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9FC93E6F-74EE-4BB1-8813-1BED2F053F61}" type="TxLink">
              <a:rPr lang="en-US" sz="1800" b="0" i="0" u="none" strike="noStrike">
                <a:ln>
                  <a:noFill/>
                </a:ln>
                <a:solidFill>
                  <a:schemeClr val="bg1">
                    <a:lumMod val="95000"/>
                  </a:schemeClr>
                </a:solidFill>
                <a:latin typeface="Aptos Narrow"/>
              </a:rPr>
              <a:pPr algn="ctr"/>
              <a:t>19%</a:t>
            </a:fld>
            <a:endParaRPr lang="en-US" sz="1800">
              <a:ln>
                <a:noFill/>
              </a:ln>
              <a:solidFill>
                <a:schemeClr val="bg1">
                  <a:lumMod val="95000"/>
                </a:schemeClr>
              </a:solidFill>
            </a:endParaRPr>
          </a:p>
        </xdr:txBody>
      </xdr:sp>
    </xdr:grpSp>
    <xdr:clientData/>
  </xdr:twoCellAnchor>
  <xdr:twoCellAnchor editAs="oneCell">
    <xdr:from>
      <xdr:col>0</xdr:col>
      <xdr:colOff>320294</xdr:colOff>
      <xdr:row>14</xdr:row>
      <xdr:rowOff>133243</xdr:rowOff>
    </xdr:from>
    <xdr:to>
      <xdr:col>4</xdr:col>
      <xdr:colOff>3302</xdr:colOff>
      <xdr:row>21</xdr:row>
      <xdr:rowOff>18096</xdr:rowOff>
    </xdr:to>
    <mc:AlternateContent xmlns:mc="http://schemas.openxmlformats.org/markup-compatibility/2006" xmlns:a14="http://schemas.microsoft.com/office/drawing/2010/main">
      <mc:Choice Requires="a14">
        <xdr:graphicFrame macro="">
          <xdr:nvGraphicFramePr>
            <xdr:cNvPr id="26" name="Age Category 2">
              <a:extLst>
                <a:ext uri="{FF2B5EF4-FFF2-40B4-BE49-F238E27FC236}">
                  <a16:creationId xmlns:a16="http://schemas.microsoft.com/office/drawing/2014/main" id="{EEB7AE40-9354-4339-A2E0-400037CE4B7B}"/>
                </a:ext>
              </a:extLst>
            </xdr:cNvPr>
            <xdr:cNvGraphicFramePr/>
          </xdr:nvGraphicFramePr>
          <xdr:xfrm>
            <a:off x="0" y="0"/>
            <a:ext cx="0" cy="0"/>
          </xdr:xfrm>
          <a:graphic>
            <a:graphicData uri="http://schemas.microsoft.com/office/drawing/2010/slicer">
              <sle:slicer xmlns:sle="http://schemas.microsoft.com/office/drawing/2010/slicer" name="Age Category 2"/>
            </a:graphicData>
          </a:graphic>
        </xdr:graphicFrame>
      </mc:Choice>
      <mc:Fallback xmlns="">
        <xdr:sp macro="" textlink="">
          <xdr:nvSpPr>
            <xdr:cNvPr id="0" name=""/>
            <xdr:cNvSpPr>
              <a:spLocks noTextEdit="1"/>
            </xdr:cNvSpPr>
          </xdr:nvSpPr>
          <xdr:spPr>
            <a:xfrm>
              <a:off x="320294" y="2740976"/>
              <a:ext cx="2121408"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320294</xdr:colOff>
      <xdr:row>10</xdr:row>
      <xdr:rowOff>123641</xdr:rowOff>
    </xdr:from>
    <xdr:to>
      <xdr:col>4</xdr:col>
      <xdr:colOff>3302</xdr:colOff>
      <xdr:row>14</xdr:row>
      <xdr:rowOff>18655</xdr:rowOff>
    </xdr:to>
    <mc:AlternateContent xmlns:mc="http://schemas.openxmlformats.org/markup-compatibility/2006" xmlns:a14="http://schemas.microsoft.com/office/drawing/2010/main">
      <mc:Choice Requires="a14">
        <xdr:graphicFrame macro="">
          <xdr:nvGraphicFramePr>
            <xdr:cNvPr id="27" name="Gender 2">
              <a:extLst>
                <a:ext uri="{FF2B5EF4-FFF2-40B4-BE49-F238E27FC236}">
                  <a16:creationId xmlns:a16="http://schemas.microsoft.com/office/drawing/2014/main" id="{F99A12DD-2AB3-4E65-81A6-E00BA39DDB6F}"/>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20294" y="1986308"/>
              <a:ext cx="2121408"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593845</xdr:colOff>
      <xdr:row>0</xdr:row>
      <xdr:rowOff>0</xdr:rowOff>
    </xdr:from>
    <xdr:to>
      <xdr:col>3</xdr:col>
      <xdr:colOff>319525</xdr:colOff>
      <xdr:row>3</xdr:row>
      <xdr:rowOff>33867</xdr:rowOff>
    </xdr:to>
    <xdr:sp macro="" textlink="">
      <xdr:nvSpPr>
        <xdr:cNvPr id="33" name="TextBox 32">
          <a:extLst>
            <a:ext uri="{FF2B5EF4-FFF2-40B4-BE49-F238E27FC236}">
              <a16:creationId xmlns:a16="http://schemas.microsoft.com/office/drawing/2014/main" id="{45D33AB3-F379-3DAE-77DC-997EB6C0737C}"/>
            </a:ext>
          </a:extLst>
        </xdr:cNvPr>
        <xdr:cNvSpPr txBox="1"/>
      </xdr:nvSpPr>
      <xdr:spPr>
        <a:xfrm>
          <a:off x="593845" y="0"/>
          <a:ext cx="1554480" cy="5926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2400" b="1">
              <a:solidFill>
                <a:srgbClr val="156082"/>
              </a:solidFill>
            </a:rPr>
            <a:t>    </a:t>
          </a:r>
          <a:r>
            <a:rPr lang="en-US" sz="3200" b="1">
              <a:solidFill>
                <a:srgbClr val="156082"/>
              </a:solidFill>
            </a:rPr>
            <a:t>HR</a:t>
          </a:r>
          <a:endParaRPr lang="en-US" sz="2400" b="1">
            <a:solidFill>
              <a:srgbClr val="156082"/>
            </a:solidFill>
          </a:endParaRPr>
        </a:p>
      </xdr:txBody>
    </xdr:sp>
    <xdr:clientData/>
  </xdr:twoCellAnchor>
  <xdr:twoCellAnchor editAs="oneCell">
    <xdr:from>
      <xdr:col>17</xdr:col>
      <xdr:colOff>423328</xdr:colOff>
      <xdr:row>18</xdr:row>
      <xdr:rowOff>74086</xdr:rowOff>
    </xdr:from>
    <xdr:to>
      <xdr:col>23</xdr:col>
      <xdr:colOff>491059</xdr:colOff>
      <xdr:row>28</xdr:row>
      <xdr:rowOff>150286</xdr:rowOff>
    </xdr:to>
    <xdr:graphicFrame macro="">
      <xdr:nvGraphicFramePr>
        <xdr:cNvPr id="37" name="Chart 36">
          <a:extLst>
            <a:ext uri="{FF2B5EF4-FFF2-40B4-BE49-F238E27FC236}">
              <a16:creationId xmlns:a16="http://schemas.microsoft.com/office/drawing/2014/main" id="{DA9B7A4D-D527-4917-97C5-B631FB06C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110067</xdr:colOff>
      <xdr:row>6</xdr:row>
      <xdr:rowOff>152401</xdr:rowOff>
    </xdr:from>
    <xdr:to>
      <xdr:col>23</xdr:col>
      <xdr:colOff>465662</xdr:colOff>
      <xdr:row>17</xdr:row>
      <xdr:rowOff>76200</xdr:rowOff>
    </xdr:to>
    <xdr:graphicFrame macro="">
      <xdr:nvGraphicFramePr>
        <xdr:cNvPr id="38" name="Chart 37">
          <a:extLst>
            <a:ext uri="{FF2B5EF4-FFF2-40B4-BE49-F238E27FC236}">
              <a16:creationId xmlns:a16="http://schemas.microsoft.com/office/drawing/2014/main" id="{B6E9B8D2-369A-469A-8513-458D5B44C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457195</xdr:colOff>
      <xdr:row>18</xdr:row>
      <xdr:rowOff>74086</xdr:rowOff>
    </xdr:from>
    <xdr:to>
      <xdr:col>10</xdr:col>
      <xdr:colOff>497836</xdr:colOff>
      <xdr:row>28</xdr:row>
      <xdr:rowOff>150286</xdr:rowOff>
    </xdr:to>
    <xdr:graphicFrame macro="">
      <xdr:nvGraphicFramePr>
        <xdr:cNvPr id="41" name="Chart 40">
          <a:extLst>
            <a:ext uri="{FF2B5EF4-FFF2-40B4-BE49-F238E27FC236}">
              <a16:creationId xmlns:a16="http://schemas.microsoft.com/office/drawing/2014/main" id="{08A482EB-5B77-48B8-90BD-16BA35E27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121920</xdr:colOff>
      <xdr:row>18</xdr:row>
      <xdr:rowOff>69852</xdr:rowOff>
    </xdr:from>
    <xdr:to>
      <xdr:col>17</xdr:col>
      <xdr:colOff>189644</xdr:colOff>
      <xdr:row>28</xdr:row>
      <xdr:rowOff>154519</xdr:rowOff>
    </xdr:to>
    <xdr:graphicFrame macro="">
      <xdr:nvGraphicFramePr>
        <xdr:cNvPr id="45" name="Chart 44">
          <a:extLst>
            <a:ext uri="{FF2B5EF4-FFF2-40B4-BE49-F238E27FC236}">
              <a16:creationId xmlns:a16="http://schemas.microsoft.com/office/drawing/2014/main" id="{4E18B7A6-97E0-4F5A-8C65-CE0BB8E6C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330200</xdr:colOff>
      <xdr:row>0</xdr:row>
      <xdr:rowOff>8466</xdr:rowOff>
    </xdr:from>
    <xdr:to>
      <xdr:col>4</xdr:col>
      <xdr:colOff>11669</xdr:colOff>
      <xdr:row>3</xdr:row>
      <xdr:rowOff>42333</xdr:rowOff>
    </xdr:to>
    <xdr:grpSp>
      <xdr:nvGrpSpPr>
        <xdr:cNvPr id="47" name="Group 46">
          <a:extLst>
            <a:ext uri="{FF2B5EF4-FFF2-40B4-BE49-F238E27FC236}">
              <a16:creationId xmlns:a16="http://schemas.microsoft.com/office/drawing/2014/main" id="{234C9730-C3DA-4BD3-9D9D-94C0940FFF9F}"/>
            </a:ext>
          </a:extLst>
        </xdr:cNvPr>
        <xdr:cNvGrpSpPr/>
      </xdr:nvGrpSpPr>
      <xdr:grpSpPr>
        <a:xfrm>
          <a:off x="330200" y="8466"/>
          <a:ext cx="2119869" cy="592667"/>
          <a:chOff x="329531" y="0"/>
          <a:chExt cx="2119869" cy="592667"/>
        </a:xfrm>
      </xdr:grpSpPr>
      <xdr:sp macro="" textlink="">
        <xdr:nvSpPr>
          <xdr:cNvPr id="48" name="Rectangle 47">
            <a:extLst>
              <a:ext uri="{FF2B5EF4-FFF2-40B4-BE49-F238E27FC236}">
                <a16:creationId xmlns:a16="http://schemas.microsoft.com/office/drawing/2014/main" id="{D9C48820-3117-FA74-25E3-A88C08B0DEA6}"/>
              </a:ext>
            </a:extLst>
          </xdr:cNvPr>
          <xdr:cNvSpPr/>
        </xdr:nvSpPr>
        <xdr:spPr>
          <a:xfrm>
            <a:off x="329531" y="62578"/>
            <a:ext cx="2119869" cy="44542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0" b="0">
              <a:solidFill>
                <a:srgbClr val="104760"/>
              </a:solidFill>
            </a:endParaRPr>
          </a:p>
          <a:p>
            <a:pPr algn="l"/>
            <a:endParaRPr lang="en-US" sz="1000" b="0">
              <a:solidFill>
                <a:srgbClr val="104760"/>
              </a:solidFill>
            </a:endParaRPr>
          </a:p>
        </xdr:txBody>
      </xdr:sp>
      <xdr:sp macro="" textlink="">
        <xdr:nvSpPr>
          <xdr:cNvPr id="49" name="TextBox 48">
            <a:extLst>
              <a:ext uri="{FF2B5EF4-FFF2-40B4-BE49-F238E27FC236}">
                <a16:creationId xmlns:a16="http://schemas.microsoft.com/office/drawing/2014/main" id="{D8F77E42-873D-17A8-A735-3C2998A9D743}"/>
              </a:ext>
            </a:extLst>
          </xdr:cNvPr>
          <xdr:cNvSpPr txBox="1"/>
        </xdr:nvSpPr>
        <xdr:spPr>
          <a:xfrm>
            <a:off x="593845" y="0"/>
            <a:ext cx="1554480" cy="5926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2400" b="1">
                <a:solidFill>
                  <a:srgbClr val="156082"/>
                </a:solidFill>
              </a:rPr>
              <a:t>    </a:t>
            </a:r>
            <a:r>
              <a:rPr lang="en-US" sz="3200" b="1">
                <a:solidFill>
                  <a:srgbClr val="156082"/>
                </a:solidFill>
              </a:rPr>
              <a:t>HR</a:t>
            </a:r>
            <a:endParaRPr lang="en-US" sz="2400" b="1">
              <a:solidFill>
                <a:srgbClr val="156082"/>
              </a:solidFill>
            </a:endParaRPr>
          </a:p>
        </xdr:txBody>
      </xdr:sp>
      <xdr:pic>
        <xdr:nvPicPr>
          <xdr:cNvPr id="50" name="Picture 49">
            <a:extLst>
              <a:ext uri="{FF2B5EF4-FFF2-40B4-BE49-F238E27FC236}">
                <a16:creationId xmlns:a16="http://schemas.microsoft.com/office/drawing/2014/main" id="{B7A4D736-4F63-19EC-F450-E06C80FDA8C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00391" y="127100"/>
            <a:ext cx="336874" cy="330099"/>
          </a:xfrm>
          <a:prstGeom prst="rect">
            <a:avLst/>
          </a:prstGeom>
        </xdr:spPr>
      </xdr:pic>
    </xdr:grpSp>
    <xdr:clientData/>
  </xdr:twoCellAnchor>
  <xdr:twoCellAnchor editAs="oneCell">
    <xdr:from>
      <xdr:col>0</xdr:col>
      <xdr:colOff>321818</xdr:colOff>
      <xdr:row>21</xdr:row>
      <xdr:rowOff>132684</xdr:rowOff>
    </xdr:from>
    <xdr:to>
      <xdr:col>4</xdr:col>
      <xdr:colOff>4826</xdr:colOff>
      <xdr:row>29</xdr:row>
      <xdr:rowOff>105591</xdr:rowOff>
    </xdr:to>
    <mc:AlternateContent xmlns:mc="http://schemas.openxmlformats.org/markup-compatibility/2006">
      <mc:Choice xmlns:a14="http://schemas.microsoft.com/office/drawing/2010/main" Requires="a14">
        <xdr:graphicFrame macro="">
          <xdr:nvGraphicFramePr>
            <xdr:cNvPr id="52" name="Year 2">
              <a:extLst>
                <a:ext uri="{FF2B5EF4-FFF2-40B4-BE49-F238E27FC236}">
                  <a16:creationId xmlns:a16="http://schemas.microsoft.com/office/drawing/2014/main" id="{D746FEBD-AC61-49CB-90D2-8513E470F94B}"/>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321818" y="4044284"/>
              <a:ext cx="2121408"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458489</xdr:colOff>
      <xdr:row>6</xdr:row>
      <xdr:rowOff>161440</xdr:rowOff>
    </xdr:from>
    <xdr:to>
      <xdr:col>14</xdr:col>
      <xdr:colOff>445574</xdr:colOff>
      <xdr:row>17</xdr:row>
      <xdr:rowOff>90407</xdr:rowOff>
    </xdr:to>
    <xdr:graphicFrame macro="">
      <xdr:nvGraphicFramePr>
        <xdr:cNvPr id="29" name="Chart 28">
          <a:extLst>
            <a:ext uri="{FF2B5EF4-FFF2-40B4-BE49-F238E27FC236}">
              <a16:creationId xmlns:a16="http://schemas.microsoft.com/office/drawing/2014/main" id="{8C701484-118C-4B38-9C6A-6ED8E2DBA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246089</xdr:colOff>
      <xdr:row>0</xdr:row>
      <xdr:rowOff>0</xdr:rowOff>
    </xdr:from>
    <xdr:to>
      <xdr:col>4</xdr:col>
      <xdr:colOff>91440</xdr:colOff>
      <xdr:row>29</xdr:row>
      <xdr:rowOff>176107</xdr:rowOff>
    </xdr:to>
    <xdr:sp macro="" textlink="">
      <xdr:nvSpPr>
        <xdr:cNvPr id="2" name="Rectangle 1">
          <a:extLst>
            <a:ext uri="{FF2B5EF4-FFF2-40B4-BE49-F238E27FC236}">
              <a16:creationId xmlns:a16="http://schemas.microsoft.com/office/drawing/2014/main" id="{0003A4D2-BF67-4192-A2C5-A4780918BA29}"/>
            </a:ext>
          </a:extLst>
        </xdr:cNvPr>
        <xdr:cNvSpPr/>
      </xdr:nvSpPr>
      <xdr:spPr>
        <a:xfrm>
          <a:off x="246089" y="0"/>
          <a:ext cx="2283751" cy="5479627"/>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265441</xdr:colOff>
      <xdr:row>1</xdr:row>
      <xdr:rowOff>0</xdr:rowOff>
    </xdr:from>
    <xdr:to>
      <xdr:col>13</xdr:col>
      <xdr:colOff>539760</xdr:colOff>
      <xdr:row>5</xdr:row>
      <xdr:rowOff>77894</xdr:rowOff>
    </xdr:to>
    <xdr:grpSp>
      <xdr:nvGrpSpPr>
        <xdr:cNvPr id="3" name="Group 2">
          <a:extLst>
            <a:ext uri="{FF2B5EF4-FFF2-40B4-BE49-F238E27FC236}">
              <a16:creationId xmlns:a16="http://schemas.microsoft.com/office/drawing/2014/main" id="{BB516C34-29E0-4B67-9FED-F869E12E962A}"/>
            </a:ext>
          </a:extLst>
        </xdr:cNvPr>
        <xdr:cNvGrpSpPr/>
      </xdr:nvGrpSpPr>
      <xdr:grpSpPr>
        <a:xfrm>
          <a:off x="6361441" y="186267"/>
          <a:ext cx="2103119" cy="822960"/>
          <a:chOff x="4723828" y="186267"/>
          <a:chExt cx="2194559" cy="731520"/>
        </a:xfrm>
      </xdr:grpSpPr>
      <xdr:sp macro="" textlink="">
        <xdr:nvSpPr>
          <xdr:cNvPr id="4" name="Rectangle: Rounded Corners 3">
            <a:extLst>
              <a:ext uri="{FF2B5EF4-FFF2-40B4-BE49-F238E27FC236}">
                <a16:creationId xmlns:a16="http://schemas.microsoft.com/office/drawing/2014/main" id="{1AA208A5-ED36-D308-EE3C-315DD2540189}"/>
              </a:ext>
            </a:extLst>
          </xdr:cNvPr>
          <xdr:cNvSpPr/>
        </xdr:nvSpPr>
        <xdr:spPr>
          <a:xfrm>
            <a:off x="4808434" y="186267"/>
            <a:ext cx="2062934" cy="731520"/>
          </a:xfrm>
          <a:prstGeom prst="roundRect">
            <a:avLst/>
          </a:prstGeom>
          <a:solidFill>
            <a:srgbClr val="023047"/>
          </a:solidFill>
          <a:ln w="6350">
            <a:solidFill>
              <a:schemeClr val="bg1"/>
            </a:solidFill>
          </a:ln>
          <a:effectLst>
            <a:glow rad="139700">
              <a:schemeClr val="bg1">
                <a:alpha val="40000"/>
              </a:schemeClr>
            </a:glow>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endParaRPr>
          </a:p>
        </xdr:txBody>
      </xdr:sp>
      <xdr:sp macro="" textlink="">
        <xdr:nvSpPr>
          <xdr:cNvPr id="5" name="TextBox 4">
            <a:extLst>
              <a:ext uri="{FF2B5EF4-FFF2-40B4-BE49-F238E27FC236}">
                <a16:creationId xmlns:a16="http://schemas.microsoft.com/office/drawing/2014/main" id="{59C18A6A-F007-E7BF-403C-195B6121DE1D}"/>
              </a:ext>
            </a:extLst>
          </xdr:cNvPr>
          <xdr:cNvSpPr txBox="1"/>
        </xdr:nvSpPr>
        <xdr:spPr>
          <a:xfrm>
            <a:off x="4765264" y="219144"/>
            <a:ext cx="2153123" cy="246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400">
                <a:ln>
                  <a:noFill/>
                </a:ln>
                <a:solidFill>
                  <a:schemeClr val="bg1">
                    <a:lumMod val="95000"/>
                  </a:schemeClr>
                </a:solidFill>
              </a:rPr>
              <a:t>Avg </a:t>
            </a:r>
            <a:r>
              <a:rPr lang="en-US" sz="1400">
                <a:solidFill>
                  <a:schemeClr val="bg1"/>
                </a:solidFill>
              </a:rPr>
              <a:t>Monthly</a:t>
            </a:r>
            <a:r>
              <a:rPr lang="en-US" sz="1400"/>
              <a:t> </a:t>
            </a:r>
            <a:r>
              <a:rPr lang="en-US" sz="1400">
                <a:ln>
                  <a:noFill/>
                </a:ln>
                <a:solidFill>
                  <a:schemeClr val="bg1">
                    <a:lumMod val="95000"/>
                  </a:schemeClr>
                </a:solidFill>
              </a:rPr>
              <a:t>of Salary </a:t>
            </a:r>
          </a:p>
        </xdr:txBody>
      </xdr:sp>
      <xdr:sp macro="" textlink="'Pivot Table'!K8">
        <xdr:nvSpPr>
          <xdr:cNvPr id="6" name="TextBox 5">
            <a:extLst>
              <a:ext uri="{FF2B5EF4-FFF2-40B4-BE49-F238E27FC236}">
                <a16:creationId xmlns:a16="http://schemas.microsoft.com/office/drawing/2014/main" id="{F4F9E986-EF10-FE49-7A5F-D70694CBC3B9}"/>
              </a:ext>
            </a:extLst>
          </xdr:cNvPr>
          <xdr:cNvSpPr txBox="1"/>
        </xdr:nvSpPr>
        <xdr:spPr>
          <a:xfrm>
            <a:off x="4723828" y="493582"/>
            <a:ext cx="1869870" cy="340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B2C0B6AF-3F79-4600-B05D-EDB619CAFA8C}" type="TxLink">
              <a:rPr lang="en-US" sz="1800" b="0" i="0" u="none" strike="noStrike">
                <a:ln>
                  <a:noFill/>
                </a:ln>
                <a:solidFill>
                  <a:schemeClr val="bg1"/>
                </a:solidFill>
                <a:latin typeface="Aptos Narrow"/>
              </a:rPr>
              <a:pPr algn="ctr"/>
              <a:t> 9,582 </a:t>
            </a:fld>
            <a:endParaRPr lang="en-US" sz="1800">
              <a:ln>
                <a:noFill/>
              </a:ln>
              <a:solidFill>
                <a:schemeClr val="bg1"/>
              </a:solidFill>
            </a:endParaRPr>
          </a:p>
        </xdr:txBody>
      </xdr:sp>
    </xdr:grpSp>
    <xdr:clientData/>
  </xdr:twoCellAnchor>
  <xdr:twoCellAnchor editAs="oneCell">
    <xdr:from>
      <xdr:col>0</xdr:col>
      <xdr:colOff>321818</xdr:colOff>
      <xdr:row>3</xdr:row>
      <xdr:rowOff>132667</xdr:rowOff>
    </xdr:from>
    <xdr:to>
      <xdr:col>4</xdr:col>
      <xdr:colOff>1778</xdr:colOff>
      <xdr:row>10</xdr:row>
      <xdr:rowOff>17520</xdr:rowOff>
    </xdr:to>
    <mc:AlternateContent xmlns:mc="http://schemas.openxmlformats.org/markup-compatibility/2006" xmlns:a14="http://schemas.microsoft.com/office/drawing/2010/main">
      <mc:Choice Requires="a14">
        <xdr:graphicFrame macro="">
          <xdr:nvGraphicFramePr>
            <xdr:cNvPr id="7" name="Department 3">
              <a:extLst>
                <a:ext uri="{FF2B5EF4-FFF2-40B4-BE49-F238E27FC236}">
                  <a16:creationId xmlns:a16="http://schemas.microsoft.com/office/drawing/2014/main" id="{AF4FED2C-E71D-4BE9-9C22-63DD64238385}"/>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321818" y="691467"/>
              <a:ext cx="211836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229282</xdr:colOff>
      <xdr:row>0</xdr:row>
      <xdr:rowOff>143934</xdr:rowOff>
    </xdr:from>
    <xdr:to>
      <xdr:col>25</xdr:col>
      <xdr:colOff>397933</xdr:colOff>
      <xdr:row>4</xdr:row>
      <xdr:rowOff>177118</xdr:rowOff>
    </xdr:to>
    <xdr:pic>
      <xdr:nvPicPr>
        <xdr:cNvPr id="8" name="Picture 7">
          <a:hlinkClick xmlns:r="http://schemas.openxmlformats.org/officeDocument/2006/relationships" r:id="rId1"/>
          <a:extLst>
            <a:ext uri="{FF2B5EF4-FFF2-40B4-BE49-F238E27FC236}">
              <a16:creationId xmlns:a16="http://schemas.microsoft.com/office/drawing/2014/main" id="{7EEBE039-F8F2-459C-AEAA-A07F058C621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14859682" y="143934"/>
          <a:ext cx="778251" cy="764704"/>
        </a:xfrm>
        <a:prstGeom prst="rect">
          <a:avLst/>
        </a:prstGeom>
      </xdr:spPr>
    </xdr:pic>
    <xdr:clientData/>
  </xdr:twoCellAnchor>
  <xdr:twoCellAnchor editAs="oneCell">
    <xdr:from>
      <xdr:col>23</xdr:col>
      <xdr:colOff>177800</xdr:colOff>
      <xdr:row>0</xdr:row>
      <xdr:rowOff>153082</xdr:rowOff>
    </xdr:from>
    <xdr:to>
      <xdr:col>24</xdr:col>
      <xdr:colOff>346451</xdr:colOff>
      <xdr:row>4</xdr:row>
      <xdr:rowOff>182803</xdr:rowOff>
    </xdr:to>
    <xdr:pic>
      <xdr:nvPicPr>
        <xdr:cNvPr id="9" name="Picture 8">
          <a:hlinkClick xmlns:r="http://schemas.openxmlformats.org/officeDocument/2006/relationships" r:id="rId3"/>
          <a:extLst>
            <a:ext uri="{FF2B5EF4-FFF2-40B4-BE49-F238E27FC236}">
              <a16:creationId xmlns:a16="http://schemas.microsoft.com/office/drawing/2014/main" id="{9C992F18-C7F7-400C-8C28-05F2D15026F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rot="10800000" flipH="1">
          <a:off x="14198600" y="153082"/>
          <a:ext cx="778251" cy="761241"/>
        </a:xfrm>
        <a:prstGeom prst="rect">
          <a:avLst/>
        </a:prstGeom>
      </xdr:spPr>
    </xdr:pic>
    <xdr:clientData/>
  </xdr:twoCellAnchor>
  <xdr:twoCellAnchor>
    <xdr:from>
      <xdr:col>14</xdr:col>
      <xdr:colOff>144790</xdr:colOff>
      <xdr:row>1</xdr:row>
      <xdr:rowOff>0</xdr:rowOff>
    </xdr:from>
    <xdr:to>
      <xdr:col>17</xdr:col>
      <xdr:colOff>419110</xdr:colOff>
      <xdr:row>5</xdr:row>
      <xdr:rowOff>77894</xdr:rowOff>
    </xdr:to>
    <xdr:grpSp>
      <xdr:nvGrpSpPr>
        <xdr:cNvPr id="10" name="Group 9">
          <a:extLst>
            <a:ext uri="{FF2B5EF4-FFF2-40B4-BE49-F238E27FC236}">
              <a16:creationId xmlns:a16="http://schemas.microsoft.com/office/drawing/2014/main" id="{25824C31-8D9B-4B60-97BB-8D5A2DBAAAC5}"/>
            </a:ext>
          </a:extLst>
        </xdr:cNvPr>
        <xdr:cNvGrpSpPr/>
      </xdr:nvGrpSpPr>
      <xdr:grpSpPr>
        <a:xfrm>
          <a:off x="8679190" y="186267"/>
          <a:ext cx="2103120" cy="822960"/>
          <a:chOff x="4723827" y="186267"/>
          <a:chExt cx="2194560" cy="731520"/>
        </a:xfrm>
      </xdr:grpSpPr>
      <xdr:sp macro="" textlink="">
        <xdr:nvSpPr>
          <xdr:cNvPr id="11" name="Rectangle: Rounded Corners 10">
            <a:extLst>
              <a:ext uri="{FF2B5EF4-FFF2-40B4-BE49-F238E27FC236}">
                <a16:creationId xmlns:a16="http://schemas.microsoft.com/office/drawing/2014/main" id="{1F166219-CC16-ACB8-2003-31CFD834536B}"/>
              </a:ext>
            </a:extLst>
          </xdr:cNvPr>
          <xdr:cNvSpPr/>
        </xdr:nvSpPr>
        <xdr:spPr>
          <a:xfrm>
            <a:off x="4808434" y="186267"/>
            <a:ext cx="2062934" cy="731520"/>
          </a:xfrm>
          <a:prstGeom prst="roundRect">
            <a:avLst/>
          </a:prstGeom>
          <a:solidFill>
            <a:srgbClr val="023047"/>
          </a:solidFill>
          <a:ln w="6350">
            <a:solidFill>
              <a:schemeClr val="bg1"/>
            </a:solidFill>
          </a:ln>
          <a:effectLst>
            <a:glow rad="139700">
              <a:schemeClr val="bg1">
                <a:alpha val="40000"/>
              </a:schemeClr>
            </a:glow>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endParaRPr>
          </a:p>
        </xdr:txBody>
      </xdr:sp>
      <xdr:sp macro="" textlink="">
        <xdr:nvSpPr>
          <xdr:cNvPr id="12" name="TextBox 11">
            <a:extLst>
              <a:ext uri="{FF2B5EF4-FFF2-40B4-BE49-F238E27FC236}">
                <a16:creationId xmlns:a16="http://schemas.microsoft.com/office/drawing/2014/main" id="{B2CEE01A-F993-AA95-F78F-AC309DFE0650}"/>
              </a:ext>
            </a:extLst>
          </xdr:cNvPr>
          <xdr:cNvSpPr txBox="1"/>
        </xdr:nvSpPr>
        <xdr:spPr>
          <a:xfrm>
            <a:off x="4765264" y="219144"/>
            <a:ext cx="2153123" cy="246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200">
                <a:solidFill>
                  <a:schemeClr val="bg1"/>
                </a:solidFill>
              </a:rPr>
              <a:t>Training Cost per Employee</a:t>
            </a:r>
            <a:endParaRPr lang="en-US" sz="1200">
              <a:ln>
                <a:noFill/>
              </a:ln>
              <a:solidFill>
                <a:schemeClr val="bg1"/>
              </a:solidFill>
            </a:endParaRPr>
          </a:p>
        </xdr:txBody>
      </xdr:sp>
      <xdr:sp macro="" textlink="'Pivot Table'!E29">
        <xdr:nvSpPr>
          <xdr:cNvPr id="13" name="TextBox 12">
            <a:extLst>
              <a:ext uri="{FF2B5EF4-FFF2-40B4-BE49-F238E27FC236}">
                <a16:creationId xmlns:a16="http://schemas.microsoft.com/office/drawing/2014/main" id="{4D4C22BC-1CF8-B67F-5C22-28F58CEBBEB5}"/>
              </a:ext>
            </a:extLst>
          </xdr:cNvPr>
          <xdr:cNvSpPr txBox="1"/>
        </xdr:nvSpPr>
        <xdr:spPr>
          <a:xfrm>
            <a:off x="4723827" y="493582"/>
            <a:ext cx="1836741" cy="340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9F31B3C9-7849-4EE2-829B-940EF7974490}" type="TxLink">
              <a:rPr lang="en-US" sz="1800" b="0" i="0" u="none" strike="noStrike">
                <a:ln>
                  <a:noFill/>
                </a:ln>
                <a:solidFill>
                  <a:schemeClr val="bg1"/>
                </a:solidFill>
                <a:latin typeface="Aptos Narrow"/>
              </a:rPr>
              <a:pPr algn="ctr"/>
              <a:t> 1,044 </a:t>
            </a:fld>
            <a:endParaRPr lang="en-US" sz="2800">
              <a:ln>
                <a:noFill/>
              </a:ln>
              <a:solidFill>
                <a:schemeClr val="bg1"/>
              </a:solidFill>
            </a:endParaRPr>
          </a:p>
        </xdr:txBody>
      </xdr:sp>
    </xdr:grpSp>
    <xdr:clientData/>
  </xdr:twoCellAnchor>
  <xdr:twoCellAnchor>
    <xdr:from>
      <xdr:col>18</xdr:col>
      <xdr:colOff>24140</xdr:colOff>
      <xdr:row>1</xdr:row>
      <xdr:rowOff>0</xdr:rowOff>
    </xdr:from>
    <xdr:to>
      <xdr:col>21</xdr:col>
      <xdr:colOff>298460</xdr:colOff>
      <xdr:row>5</xdr:row>
      <xdr:rowOff>77894</xdr:rowOff>
    </xdr:to>
    <xdr:grpSp>
      <xdr:nvGrpSpPr>
        <xdr:cNvPr id="14" name="Group 13">
          <a:extLst>
            <a:ext uri="{FF2B5EF4-FFF2-40B4-BE49-F238E27FC236}">
              <a16:creationId xmlns:a16="http://schemas.microsoft.com/office/drawing/2014/main" id="{D4266CE7-CC97-4A10-8E8D-74DDF6D436CD}"/>
            </a:ext>
          </a:extLst>
        </xdr:cNvPr>
        <xdr:cNvGrpSpPr/>
      </xdr:nvGrpSpPr>
      <xdr:grpSpPr>
        <a:xfrm>
          <a:off x="10996940" y="186267"/>
          <a:ext cx="2103120" cy="822960"/>
          <a:chOff x="4723827" y="186267"/>
          <a:chExt cx="2194560" cy="731520"/>
        </a:xfrm>
      </xdr:grpSpPr>
      <xdr:sp macro="" textlink="">
        <xdr:nvSpPr>
          <xdr:cNvPr id="15" name="Rectangle: Rounded Corners 14">
            <a:extLst>
              <a:ext uri="{FF2B5EF4-FFF2-40B4-BE49-F238E27FC236}">
                <a16:creationId xmlns:a16="http://schemas.microsoft.com/office/drawing/2014/main" id="{08FBAE3E-DF0E-54F4-E9EC-0B942CDB165A}"/>
              </a:ext>
            </a:extLst>
          </xdr:cNvPr>
          <xdr:cNvSpPr/>
        </xdr:nvSpPr>
        <xdr:spPr>
          <a:xfrm>
            <a:off x="4808434" y="186267"/>
            <a:ext cx="2062934" cy="731520"/>
          </a:xfrm>
          <a:prstGeom prst="roundRect">
            <a:avLst/>
          </a:prstGeom>
          <a:solidFill>
            <a:srgbClr val="023047"/>
          </a:solidFill>
          <a:ln w="6350">
            <a:solidFill>
              <a:schemeClr val="bg1"/>
            </a:solidFill>
          </a:ln>
          <a:effectLst>
            <a:glow rad="139700">
              <a:schemeClr val="bg1">
                <a:alpha val="40000"/>
              </a:schemeClr>
            </a:glow>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endParaRPr>
          </a:p>
        </xdr:txBody>
      </xdr:sp>
      <xdr:sp macro="" textlink="">
        <xdr:nvSpPr>
          <xdr:cNvPr id="16" name="TextBox 15">
            <a:extLst>
              <a:ext uri="{FF2B5EF4-FFF2-40B4-BE49-F238E27FC236}">
                <a16:creationId xmlns:a16="http://schemas.microsoft.com/office/drawing/2014/main" id="{A6025A8C-A5FB-0F07-5749-09C84486AB67}"/>
              </a:ext>
            </a:extLst>
          </xdr:cNvPr>
          <xdr:cNvSpPr txBox="1"/>
        </xdr:nvSpPr>
        <xdr:spPr>
          <a:xfrm>
            <a:off x="4765264" y="219144"/>
            <a:ext cx="2153123" cy="246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400">
                <a:ln>
                  <a:noFill/>
                </a:ln>
                <a:solidFill>
                  <a:schemeClr val="bg1">
                    <a:lumMod val="95000"/>
                  </a:schemeClr>
                </a:solidFill>
              </a:rPr>
              <a:t>Avg of Absence Days</a:t>
            </a:r>
            <a:endParaRPr lang="en-US" sz="1200">
              <a:ln>
                <a:noFill/>
              </a:ln>
              <a:solidFill>
                <a:schemeClr val="bg1">
                  <a:lumMod val="95000"/>
                </a:schemeClr>
              </a:solidFill>
            </a:endParaRPr>
          </a:p>
        </xdr:txBody>
      </xdr:sp>
      <xdr:sp macro="" textlink="'Pivot Table'!D8">
        <xdr:nvSpPr>
          <xdr:cNvPr id="17" name="TextBox 16">
            <a:extLst>
              <a:ext uri="{FF2B5EF4-FFF2-40B4-BE49-F238E27FC236}">
                <a16:creationId xmlns:a16="http://schemas.microsoft.com/office/drawing/2014/main" id="{E7C5CB86-CE79-E8CA-4270-6489C6C36D3D}"/>
              </a:ext>
            </a:extLst>
          </xdr:cNvPr>
          <xdr:cNvSpPr txBox="1"/>
        </xdr:nvSpPr>
        <xdr:spPr>
          <a:xfrm>
            <a:off x="4723827" y="493582"/>
            <a:ext cx="2172653" cy="340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4B1E4D38-C40C-4B9D-8339-1EFB89E10495}" type="TxLink">
              <a:rPr lang="en-US" sz="1800" b="0" i="0" u="none" strike="noStrike">
                <a:ln>
                  <a:noFill/>
                </a:ln>
                <a:solidFill>
                  <a:schemeClr val="bg1"/>
                </a:solidFill>
                <a:latin typeface="Aptos Narrow"/>
              </a:rPr>
              <a:t>11</a:t>
            </a:fld>
            <a:endParaRPr lang="en-US" sz="6600">
              <a:ln>
                <a:noFill/>
              </a:ln>
              <a:solidFill>
                <a:schemeClr val="bg1"/>
              </a:solidFill>
            </a:endParaRPr>
          </a:p>
        </xdr:txBody>
      </xdr:sp>
    </xdr:grpSp>
    <xdr:clientData/>
  </xdr:twoCellAnchor>
  <xdr:twoCellAnchor>
    <xdr:from>
      <xdr:col>6</xdr:col>
      <xdr:colOff>386090</xdr:colOff>
      <xdr:row>1</xdr:row>
      <xdr:rowOff>0</xdr:rowOff>
    </xdr:from>
    <xdr:to>
      <xdr:col>10</xdr:col>
      <xdr:colOff>50810</xdr:colOff>
      <xdr:row>5</xdr:row>
      <xdr:rowOff>77894</xdr:rowOff>
    </xdr:to>
    <xdr:grpSp>
      <xdr:nvGrpSpPr>
        <xdr:cNvPr id="22" name="Group 21">
          <a:extLst>
            <a:ext uri="{FF2B5EF4-FFF2-40B4-BE49-F238E27FC236}">
              <a16:creationId xmlns:a16="http://schemas.microsoft.com/office/drawing/2014/main" id="{7B185E91-F6B4-4493-A255-461569DBDB75}"/>
            </a:ext>
          </a:extLst>
        </xdr:cNvPr>
        <xdr:cNvGrpSpPr/>
      </xdr:nvGrpSpPr>
      <xdr:grpSpPr>
        <a:xfrm>
          <a:off x="4043690" y="186267"/>
          <a:ext cx="2103120" cy="822960"/>
          <a:chOff x="4723827" y="186267"/>
          <a:chExt cx="2194560" cy="731520"/>
        </a:xfrm>
      </xdr:grpSpPr>
      <xdr:sp macro="" textlink="">
        <xdr:nvSpPr>
          <xdr:cNvPr id="23" name="Rectangle: Rounded Corners 22">
            <a:extLst>
              <a:ext uri="{FF2B5EF4-FFF2-40B4-BE49-F238E27FC236}">
                <a16:creationId xmlns:a16="http://schemas.microsoft.com/office/drawing/2014/main" id="{3646B1BE-F55C-9736-D41F-9CD7B47F2288}"/>
              </a:ext>
            </a:extLst>
          </xdr:cNvPr>
          <xdr:cNvSpPr/>
        </xdr:nvSpPr>
        <xdr:spPr>
          <a:xfrm>
            <a:off x="4808434" y="186267"/>
            <a:ext cx="2062934" cy="731520"/>
          </a:xfrm>
          <a:prstGeom prst="roundRect">
            <a:avLst/>
          </a:prstGeom>
          <a:solidFill>
            <a:srgbClr val="023047"/>
          </a:solidFill>
          <a:ln w="6350">
            <a:solidFill>
              <a:schemeClr val="bg1"/>
            </a:solidFill>
          </a:ln>
          <a:effectLst>
            <a:glow rad="139700">
              <a:schemeClr val="bg1">
                <a:alpha val="40000"/>
              </a:schemeClr>
            </a:glow>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endParaRPr>
          </a:p>
        </xdr:txBody>
      </xdr:sp>
      <xdr:sp macro="" textlink="">
        <xdr:nvSpPr>
          <xdr:cNvPr id="24" name="TextBox 23">
            <a:extLst>
              <a:ext uri="{FF2B5EF4-FFF2-40B4-BE49-F238E27FC236}">
                <a16:creationId xmlns:a16="http://schemas.microsoft.com/office/drawing/2014/main" id="{F93FF9EE-F424-E3D6-B547-9A780C9299FD}"/>
              </a:ext>
            </a:extLst>
          </xdr:cNvPr>
          <xdr:cNvSpPr txBox="1"/>
        </xdr:nvSpPr>
        <xdr:spPr>
          <a:xfrm>
            <a:off x="4765264" y="219144"/>
            <a:ext cx="2153123" cy="2465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US" sz="1400">
                <a:ln>
                  <a:noFill/>
                </a:ln>
                <a:solidFill>
                  <a:schemeClr val="bg1">
                    <a:lumMod val="95000"/>
                  </a:schemeClr>
                </a:solidFill>
              </a:rPr>
              <a:t>Departments</a:t>
            </a:r>
            <a:endParaRPr lang="en-US" sz="1400" baseline="0">
              <a:ln>
                <a:noFill/>
              </a:ln>
              <a:solidFill>
                <a:schemeClr val="bg1">
                  <a:lumMod val="95000"/>
                </a:schemeClr>
              </a:solidFill>
            </a:endParaRPr>
          </a:p>
        </xdr:txBody>
      </xdr:sp>
      <xdr:sp macro="" textlink="'Pivot Table'!K12">
        <xdr:nvSpPr>
          <xdr:cNvPr id="25" name="TextBox 24">
            <a:extLst>
              <a:ext uri="{FF2B5EF4-FFF2-40B4-BE49-F238E27FC236}">
                <a16:creationId xmlns:a16="http://schemas.microsoft.com/office/drawing/2014/main" id="{990E0ED8-BD6B-DA98-F996-19FD33ACF84F}"/>
              </a:ext>
            </a:extLst>
          </xdr:cNvPr>
          <xdr:cNvSpPr txBox="1"/>
        </xdr:nvSpPr>
        <xdr:spPr>
          <a:xfrm>
            <a:off x="4723827" y="493582"/>
            <a:ext cx="2172653" cy="340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fld id="{801D1018-332B-4A62-B4EC-AE8CA44CE852}" type="TxLink">
              <a:rPr lang="en-US" sz="1800" b="0" i="0" u="none" strike="noStrike">
                <a:ln>
                  <a:noFill/>
                </a:ln>
                <a:solidFill>
                  <a:schemeClr val="bg1"/>
                </a:solidFill>
                <a:latin typeface="Aptos Narrow"/>
              </a:rPr>
              <a:pPr algn="ctr"/>
              <a:t>6</a:t>
            </a:fld>
            <a:endParaRPr lang="en-US" sz="2800">
              <a:ln>
                <a:noFill/>
              </a:ln>
              <a:solidFill>
                <a:schemeClr val="bg1"/>
              </a:solidFill>
            </a:endParaRPr>
          </a:p>
        </xdr:txBody>
      </xdr:sp>
    </xdr:grpSp>
    <xdr:clientData/>
  </xdr:twoCellAnchor>
  <xdr:twoCellAnchor editAs="oneCell">
    <xdr:from>
      <xdr:col>0</xdr:col>
      <xdr:colOff>320294</xdr:colOff>
      <xdr:row>14</xdr:row>
      <xdr:rowOff>143566</xdr:rowOff>
    </xdr:from>
    <xdr:to>
      <xdr:col>4</xdr:col>
      <xdr:colOff>3302</xdr:colOff>
      <xdr:row>21</xdr:row>
      <xdr:rowOff>28419</xdr:rowOff>
    </xdr:to>
    <mc:AlternateContent xmlns:mc="http://schemas.openxmlformats.org/markup-compatibility/2006" xmlns:a14="http://schemas.microsoft.com/office/drawing/2010/main">
      <mc:Choice Requires="a14">
        <xdr:graphicFrame macro="">
          <xdr:nvGraphicFramePr>
            <xdr:cNvPr id="26" name="Age Category 3">
              <a:extLst>
                <a:ext uri="{FF2B5EF4-FFF2-40B4-BE49-F238E27FC236}">
                  <a16:creationId xmlns:a16="http://schemas.microsoft.com/office/drawing/2014/main" id="{89629F25-0E53-4859-8065-A02F10C06109}"/>
                </a:ext>
              </a:extLst>
            </xdr:cNvPr>
            <xdr:cNvGraphicFramePr/>
          </xdr:nvGraphicFramePr>
          <xdr:xfrm>
            <a:off x="0" y="0"/>
            <a:ext cx="0" cy="0"/>
          </xdr:xfrm>
          <a:graphic>
            <a:graphicData uri="http://schemas.microsoft.com/office/drawing/2010/slicer">
              <sle:slicer xmlns:sle="http://schemas.microsoft.com/office/drawing/2010/slicer" name="Age Category 3"/>
            </a:graphicData>
          </a:graphic>
        </xdr:graphicFrame>
      </mc:Choice>
      <mc:Fallback xmlns="">
        <xdr:sp macro="" textlink="">
          <xdr:nvSpPr>
            <xdr:cNvPr id="0" name=""/>
            <xdr:cNvSpPr>
              <a:spLocks noTextEdit="1"/>
            </xdr:cNvSpPr>
          </xdr:nvSpPr>
          <xdr:spPr>
            <a:xfrm>
              <a:off x="320294" y="2751299"/>
              <a:ext cx="2121408"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320294</xdr:colOff>
      <xdr:row>10</xdr:row>
      <xdr:rowOff>133036</xdr:rowOff>
    </xdr:from>
    <xdr:to>
      <xdr:col>4</xdr:col>
      <xdr:colOff>3302</xdr:colOff>
      <xdr:row>14</xdr:row>
      <xdr:rowOff>28050</xdr:rowOff>
    </xdr:to>
    <mc:AlternateContent xmlns:mc="http://schemas.openxmlformats.org/markup-compatibility/2006">
      <mc:Choice xmlns:a14="http://schemas.microsoft.com/office/drawing/2010/main" Requires="a14">
        <xdr:graphicFrame macro="">
          <xdr:nvGraphicFramePr>
            <xdr:cNvPr id="27" name="Gender 3">
              <a:extLst>
                <a:ext uri="{FF2B5EF4-FFF2-40B4-BE49-F238E27FC236}">
                  <a16:creationId xmlns:a16="http://schemas.microsoft.com/office/drawing/2014/main" id="{82D00C4B-5FBA-4C00-BD1E-F51549E70267}"/>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320294" y="1995703"/>
              <a:ext cx="2121408" cy="640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329531</xdr:colOff>
      <xdr:row>0</xdr:row>
      <xdr:rowOff>0</xdr:rowOff>
    </xdr:from>
    <xdr:to>
      <xdr:col>4</xdr:col>
      <xdr:colOff>11000</xdr:colOff>
      <xdr:row>3</xdr:row>
      <xdr:rowOff>33867</xdr:rowOff>
    </xdr:to>
    <xdr:grpSp>
      <xdr:nvGrpSpPr>
        <xdr:cNvPr id="39" name="Group 38">
          <a:extLst>
            <a:ext uri="{FF2B5EF4-FFF2-40B4-BE49-F238E27FC236}">
              <a16:creationId xmlns:a16="http://schemas.microsoft.com/office/drawing/2014/main" id="{2A163E28-3EBA-4932-36B4-FCA983AAD0D5}"/>
            </a:ext>
          </a:extLst>
        </xdr:cNvPr>
        <xdr:cNvGrpSpPr/>
      </xdr:nvGrpSpPr>
      <xdr:grpSpPr>
        <a:xfrm>
          <a:off x="329531" y="0"/>
          <a:ext cx="2119869" cy="592667"/>
          <a:chOff x="321064" y="0"/>
          <a:chExt cx="2119869" cy="592667"/>
        </a:xfrm>
      </xdr:grpSpPr>
      <xdr:sp macro="" textlink="">
        <xdr:nvSpPr>
          <xdr:cNvPr id="29" name="Rectangle 28">
            <a:extLst>
              <a:ext uri="{FF2B5EF4-FFF2-40B4-BE49-F238E27FC236}">
                <a16:creationId xmlns:a16="http://schemas.microsoft.com/office/drawing/2014/main" id="{83F6C70A-85DF-4AFC-BECD-4BD8E030168F}"/>
              </a:ext>
            </a:extLst>
          </xdr:cNvPr>
          <xdr:cNvSpPr/>
        </xdr:nvSpPr>
        <xdr:spPr>
          <a:xfrm>
            <a:off x="321064" y="71045"/>
            <a:ext cx="2119869" cy="445422"/>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000" b="0">
              <a:solidFill>
                <a:srgbClr val="104760"/>
              </a:solidFill>
            </a:endParaRPr>
          </a:p>
        </xdr:txBody>
      </xdr:sp>
      <xdr:sp macro="" textlink="">
        <xdr:nvSpPr>
          <xdr:cNvPr id="30" name="TextBox 29">
            <a:extLst>
              <a:ext uri="{FF2B5EF4-FFF2-40B4-BE49-F238E27FC236}">
                <a16:creationId xmlns:a16="http://schemas.microsoft.com/office/drawing/2014/main" id="{F65F6080-A209-46B5-B2A0-1074472BAD59}"/>
              </a:ext>
            </a:extLst>
          </xdr:cNvPr>
          <xdr:cNvSpPr txBox="1"/>
        </xdr:nvSpPr>
        <xdr:spPr>
          <a:xfrm>
            <a:off x="593845" y="0"/>
            <a:ext cx="1554480" cy="5926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2400" b="1">
                <a:solidFill>
                  <a:srgbClr val="156082"/>
                </a:solidFill>
              </a:rPr>
              <a:t>    </a:t>
            </a:r>
            <a:r>
              <a:rPr lang="en-US" sz="3200" b="1">
                <a:solidFill>
                  <a:srgbClr val="156082"/>
                </a:solidFill>
              </a:rPr>
              <a:t>HR</a:t>
            </a:r>
            <a:endParaRPr lang="en-US" sz="2400" b="1">
              <a:solidFill>
                <a:srgbClr val="156082"/>
              </a:solidFill>
            </a:endParaRPr>
          </a:p>
        </xdr:txBody>
      </xdr:sp>
      <xdr:pic>
        <xdr:nvPicPr>
          <xdr:cNvPr id="31" name="Picture 30">
            <a:extLst>
              <a:ext uri="{FF2B5EF4-FFF2-40B4-BE49-F238E27FC236}">
                <a16:creationId xmlns:a16="http://schemas.microsoft.com/office/drawing/2014/main" id="{3F3EC2FB-B421-4908-AC3E-60590C14EF0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00391" y="127100"/>
            <a:ext cx="336874" cy="330099"/>
          </a:xfrm>
          <a:prstGeom prst="rect">
            <a:avLst/>
          </a:prstGeom>
        </xdr:spPr>
      </xdr:pic>
    </xdr:grpSp>
    <xdr:clientData/>
  </xdr:twoCellAnchor>
  <xdr:twoCellAnchor>
    <xdr:from>
      <xdr:col>4</xdr:col>
      <xdr:colOff>321707</xdr:colOff>
      <xdr:row>18</xdr:row>
      <xdr:rowOff>40219</xdr:rowOff>
    </xdr:from>
    <xdr:to>
      <xdr:col>10</xdr:col>
      <xdr:colOff>413147</xdr:colOff>
      <xdr:row>28</xdr:row>
      <xdr:rowOff>124887</xdr:rowOff>
    </xdr:to>
    <xdr:graphicFrame macro="">
      <xdr:nvGraphicFramePr>
        <xdr:cNvPr id="34" name="Chart 33">
          <a:extLst>
            <a:ext uri="{FF2B5EF4-FFF2-40B4-BE49-F238E27FC236}">
              <a16:creationId xmlns:a16="http://schemas.microsoft.com/office/drawing/2014/main" id="{F8C15310-085D-4547-89CC-DB162B5FE0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321730</xdr:colOff>
      <xdr:row>18</xdr:row>
      <xdr:rowOff>36571</xdr:rowOff>
    </xdr:from>
    <xdr:to>
      <xdr:col>23</xdr:col>
      <xdr:colOff>397941</xdr:colOff>
      <xdr:row>28</xdr:row>
      <xdr:rowOff>128535</xdr:rowOff>
    </xdr:to>
    <xdr:graphicFrame macro="">
      <xdr:nvGraphicFramePr>
        <xdr:cNvPr id="36" name="Chart 35">
          <a:extLst>
            <a:ext uri="{FF2B5EF4-FFF2-40B4-BE49-F238E27FC236}">
              <a16:creationId xmlns:a16="http://schemas.microsoft.com/office/drawing/2014/main" id="{4BF779C4-92FF-4B16-A57F-9CF29C4EEE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508000</xdr:colOff>
      <xdr:row>7</xdr:row>
      <xdr:rowOff>4231</xdr:rowOff>
    </xdr:from>
    <xdr:to>
      <xdr:col>23</xdr:col>
      <xdr:colOff>127000</xdr:colOff>
      <xdr:row>16</xdr:row>
      <xdr:rowOff>122764</xdr:rowOff>
    </xdr:to>
    <mc:AlternateContent xmlns:mc="http://schemas.openxmlformats.org/markup-compatibility/2006">
      <mc:Choice xmlns:cx1="http://schemas.microsoft.com/office/drawing/2015/9/8/chartex" Requires="cx1">
        <xdr:graphicFrame macro="">
          <xdr:nvGraphicFramePr>
            <xdr:cNvPr id="37" name="Chart 36">
              <a:extLst>
                <a:ext uri="{FF2B5EF4-FFF2-40B4-BE49-F238E27FC236}">
                  <a16:creationId xmlns:a16="http://schemas.microsoft.com/office/drawing/2014/main" id="{77D6A0FB-1837-4B46-A1A1-0567130557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042400" y="1308098"/>
              <a:ext cx="5105400" cy="179493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347128</xdr:colOff>
      <xdr:row>6</xdr:row>
      <xdr:rowOff>162982</xdr:rowOff>
    </xdr:from>
    <xdr:to>
      <xdr:col>13</xdr:col>
      <xdr:colOff>524933</xdr:colOff>
      <xdr:row>17</xdr:row>
      <xdr:rowOff>65618</xdr:rowOff>
    </xdr:to>
    <xdr:graphicFrame macro="">
      <xdr:nvGraphicFramePr>
        <xdr:cNvPr id="38" name="Chart 37">
          <a:extLst>
            <a:ext uri="{FF2B5EF4-FFF2-40B4-BE49-F238E27FC236}">
              <a16:creationId xmlns:a16="http://schemas.microsoft.com/office/drawing/2014/main" id="{CB812146-4CA4-44A3-9D63-96C8469C00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194734</xdr:colOff>
      <xdr:row>6</xdr:row>
      <xdr:rowOff>165099</xdr:rowOff>
    </xdr:from>
    <xdr:to>
      <xdr:col>23</xdr:col>
      <xdr:colOff>372554</xdr:colOff>
      <xdr:row>17</xdr:row>
      <xdr:rowOff>63500</xdr:rowOff>
    </xdr:to>
    <xdr:sp macro="" textlink="">
      <xdr:nvSpPr>
        <xdr:cNvPr id="41" name="Rectangle: Rounded Corners 40">
          <a:extLst>
            <a:ext uri="{FF2B5EF4-FFF2-40B4-BE49-F238E27FC236}">
              <a16:creationId xmlns:a16="http://schemas.microsoft.com/office/drawing/2014/main" id="{44C1392B-4B1A-8CF0-930A-F0CEA0885000}"/>
            </a:ext>
          </a:extLst>
        </xdr:cNvPr>
        <xdr:cNvSpPr/>
      </xdr:nvSpPr>
      <xdr:spPr>
        <a:xfrm>
          <a:off x="8729134" y="1282699"/>
          <a:ext cx="5664220" cy="1947334"/>
        </a:xfrm>
        <a:prstGeom prst="roundRect">
          <a:avLst>
            <a:gd name="adj" fmla="val 6667"/>
          </a:avLst>
        </a:prstGeom>
        <a:noFill/>
        <a:ln w="9525">
          <a:solidFill>
            <a:srgbClr val="FFFFFF"/>
          </a:solidFill>
          <a:round/>
        </a:ln>
        <a:effectLst>
          <a:glow rad="25400">
            <a:schemeClr val="bg1">
              <a:alpha val="40000"/>
            </a:schemeClr>
          </a:glow>
          <a:outerShdw blurRad="63500" sx="102000" sy="102000" algn="ctr" rotWithShape="0">
            <a:schemeClr val="bg1">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noFill/>
          </a:endParaRPr>
        </a:p>
      </xdr:txBody>
    </xdr:sp>
    <xdr:clientData/>
  </xdr:twoCellAnchor>
  <xdr:twoCellAnchor editAs="oneCell">
    <xdr:from>
      <xdr:col>0</xdr:col>
      <xdr:colOff>322289</xdr:colOff>
      <xdr:row>21</xdr:row>
      <xdr:rowOff>143934</xdr:rowOff>
    </xdr:from>
    <xdr:to>
      <xdr:col>4</xdr:col>
      <xdr:colOff>5297</xdr:colOff>
      <xdr:row>29</xdr:row>
      <xdr:rowOff>116841</xdr:rowOff>
    </xdr:to>
    <mc:AlternateContent xmlns:mc="http://schemas.openxmlformats.org/markup-compatibility/2006" xmlns:a14="http://schemas.microsoft.com/office/drawing/2010/main">
      <mc:Choice Requires="a14">
        <xdr:graphicFrame macro="">
          <xdr:nvGraphicFramePr>
            <xdr:cNvPr id="43" name="Year 1">
              <a:extLst>
                <a:ext uri="{FF2B5EF4-FFF2-40B4-BE49-F238E27FC236}">
                  <a16:creationId xmlns:a16="http://schemas.microsoft.com/office/drawing/2014/main" id="{A604F913-5EC2-483C-A543-2FDBE3CF118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322289" y="4055534"/>
              <a:ext cx="2121408"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12</xdr:col>
      <xdr:colOff>160867</xdr:colOff>
      <xdr:row>2</xdr:row>
      <xdr:rowOff>169335</xdr:rowOff>
    </xdr:from>
    <xdr:ext cx="511422" cy="374077"/>
    <xdr:sp macro="" textlink="">
      <xdr:nvSpPr>
        <xdr:cNvPr id="18" name="TextBox 17">
          <a:extLst>
            <a:ext uri="{FF2B5EF4-FFF2-40B4-BE49-F238E27FC236}">
              <a16:creationId xmlns:a16="http://schemas.microsoft.com/office/drawing/2014/main" id="{400067E9-C6C3-944A-D0D4-EE2E12DE8FE0}"/>
            </a:ext>
          </a:extLst>
        </xdr:cNvPr>
        <xdr:cNvSpPr txBox="1"/>
      </xdr:nvSpPr>
      <xdr:spPr>
        <a:xfrm>
          <a:off x="7476067" y="541868"/>
          <a:ext cx="511422"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a:solidFill>
                <a:schemeClr val="bg1"/>
              </a:solidFill>
            </a:rPr>
            <a:t>E.G</a:t>
          </a:r>
        </a:p>
      </xdr:txBody>
    </xdr:sp>
    <xdr:clientData/>
  </xdr:oneCellAnchor>
  <xdr:oneCellAnchor>
    <xdr:from>
      <xdr:col>16</xdr:col>
      <xdr:colOff>16936</xdr:colOff>
      <xdr:row>2</xdr:row>
      <xdr:rowOff>169333</xdr:rowOff>
    </xdr:from>
    <xdr:ext cx="511422" cy="374077"/>
    <xdr:sp macro="" textlink="">
      <xdr:nvSpPr>
        <xdr:cNvPr id="19" name="TextBox 18">
          <a:extLst>
            <a:ext uri="{FF2B5EF4-FFF2-40B4-BE49-F238E27FC236}">
              <a16:creationId xmlns:a16="http://schemas.microsoft.com/office/drawing/2014/main" id="{6F888F79-94B9-4510-9E6B-5EDE6E005B68}"/>
            </a:ext>
          </a:extLst>
        </xdr:cNvPr>
        <xdr:cNvSpPr txBox="1"/>
      </xdr:nvSpPr>
      <xdr:spPr>
        <a:xfrm>
          <a:off x="9770536" y="541866"/>
          <a:ext cx="511422" cy="3740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a:solidFill>
                <a:schemeClr val="bg1"/>
              </a:solidFill>
            </a:rPr>
            <a:t>E.G</a:t>
          </a:r>
        </a:p>
      </xdr:txBody>
    </xdr:sp>
    <xdr:clientData/>
  </xdr:oneCellAnchor>
  <xdr:twoCellAnchor>
    <xdr:from>
      <xdr:col>11</xdr:col>
      <xdr:colOff>0</xdr:colOff>
      <xdr:row>18</xdr:row>
      <xdr:rowOff>50799</xdr:rowOff>
    </xdr:from>
    <xdr:to>
      <xdr:col>17</xdr:col>
      <xdr:colOff>118533</xdr:colOff>
      <xdr:row>28</xdr:row>
      <xdr:rowOff>135465</xdr:rowOff>
    </xdr:to>
    <xdr:graphicFrame macro="">
      <xdr:nvGraphicFramePr>
        <xdr:cNvPr id="20" name="Chart 19">
          <a:extLst>
            <a:ext uri="{FF2B5EF4-FFF2-40B4-BE49-F238E27FC236}">
              <a16:creationId xmlns:a16="http://schemas.microsoft.com/office/drawing/2014/main" id="{F9AFD382-2A23-4301-A46A-984CC4914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23</xdr:col>
      <xdr:colOff>177800</xdr:colOff>
      <xdr:row>0</xdr:row>
      <xdr:rowOff>153082</xdr:rowOff>
    </xdr:from>
    <xdr:to>
      <xdr:col>24</xdr:col>
      <xdr:colOff>346451</xdr:colOff>
      <xdr:row>4</xdr:row>
      <xdr:rowOff>182803</xdr:rowOff>
    </xdr:to>
    <xdr:pic>
      <xdr:nvPicPr>
        <xdr:cNvPr id="9" name="Picture 8">
          <a:hlinkClick xmlns:r="http://schemas.openxmlformats.org/officeDocument/2006/relationships" r:id="rId1"/>
          <a:extLst>
            <a:ext uri="{FF2B5EF4-FFF2-40B4-BE49-F238E27FC236}">
              <a16:creationId xmlns:a16="http://schemas.microsoft.com/office/drawing/2014/main" id="{04E36565-2A4C-47B0-99B6-0008A4D7D4C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rot="10800000" flipH="1">
          <a:off x="14198600" y="153082"/>
          <a:ext cx="778251" cy="761241"/>
        </a:xfrm>
        <a:prstGeom prst="rect">
          <a:avLst/>
        </a:prstGeom>
      </xdr:spPr>
    </xdr:pic>
    <xdr:clientData/>
  </xdr:twoCellAnchor>
  <xdr:twoCellAnchor>
    <xdr:from>
      <xdr:col>1</xdr:col>
      <xdr:colOff>220133</xdr:colOff>
      <xdr:row>5</xdr:row>
      <xdr:rowOff>16931</xdr:rowOff>
    </xdr:from>
    <xdr:to>
      <xdr:col>23</xdr:col>
      <xdr:colOff>16934</xdr:colOff>
      <xdr:row>27</xdr:row>
      <xdr:rowOff>76198</xdr:rowOff>
    </xdr:to>
    <xdr:sp macro="" textlink="">
      <xdr:nvSpPr>
        <xdr:cNvPr id="37" name="TextBox 36">
          <a:extLst>
            <a:ext uri="{FF2B5EF4-FFF2-40B4-BE49-F238E27FC236}">
              <a16:creationId xmlns:a16="http://schemas.microsoft.com/office/drawing/2014/main" id="{BD935DFC-CABA-D603-AD6E-269EDA03C371}"/>
            </a:ext>
          </a:extLst>
        </xdr:cNvPr>
        <xdr:cNvSpPr txBox="1"/>
      </xdr:nvSpPr>
      <xdr:spPr>
        <a:xfrm>
          <a:off x="829733" y="948264"/>
          <a:ext cx="13208001" cy="4157134"/>
        </a:xfrm>
        <a:prstGeom prst="rect">
          <a:avLst/>
        </a:prstGeom>
        <a:noFill/>
        <a:ln w="9525" cmpd="sng">
          <a:solidFill>
            <a:schemeClr val="bg1"/>
          </a:solidFill>
          <a:extLst>
            <a:ext uri="{C807C97D-BFC1-408E-A445-0C87EB9F89A2}">
              <ask:lineSketchStyleProps xmlns:ask="http://schemas.microsoft.com/office/drawing/2018/sketchyshapes" sd="981765707">
                <a:custGeom>
                  <a:avLst/>
                  <a:gdLst>
                    <a:gd name="connsiteX0" fmla="*/ 0 w 12860867"/>
                    <a:gd name="connsiteY0" fmla="*/ 0 h 4656666"/>
                    <a:gd name="connsiteX1" fmla="*/ 12860867 w 12860867"/>
                    <a:gd name="connsiteY1" fmla="*/ 0 h 4656666"/>
                    <a:gd name="connsiteX2" fmla="*/ 12860867 w 12860867"/>
                    <a:gd name="connsiteY2" fmla="*/ 4656666 h 4656666"/>
                    <a:gd name="connsiteX3" fmla="*/ 0 w 12860867"/>
                    <a:gd name="connsiteY3" fmla="*/ 4656666 h 4656666"/>
                    <a:gd name="connsiteX4" fmla="*/ 0 w 12860867"/>
                    <a:gd name="connsiteY4" fmla="*/ 0 h 465666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860867" h="4656666" fill="none" extrusionOk="0">
                      <a:moveTo>
                        <a:pt x="0" y="0"/>
                      </a:moveTo>
                      <a:cubicBezTo>
                        <a:pt x="4982744" y="-33775"/>
                        <a:pt x="11469796" y="138873"/>
                        <a:pt x="12860867" y="0"/>
                      </a:cubicBezTo>
                      <a:cubicBezTo>
                        <a:pt x="12787096" y="647787"/>
                        <a:pt x="12704984" y="4149196"/>
                        <a:pt x="12860867" y="4656666"/>
                      </a:cubicBezTo>
                      <a:cubicBezTo>
                        <a:pt x="9855597" y="4519336"/>
                        <a:pt x="6025925" y="4518810"/>
                        <a:pt x="0" y="4656666"/>
                      </a:cubicBezTo>
                      <a:cubicBezTo>
                        <a:pt x="152408" y="2407404"/>
                        <a:pt x="73868" y="1985509"/>
                        <a:pt x="0" y="0"/>
                      </a:cubicBezTo>
                      <a:close/>
                    </a:path>
                    <a:path w="12860867" h="4656666" stroke="0" extrusionOk="0">
                      <a:moveTo>
                        <a:pt x="0" y="0"/>
                      </a:moveTo>
                      <a:cubicBezTo>
                        <a:pt x="5977576" y="-101487"/>
                        <a:pt x="7824988" y="-162162"/>
                        <a:pt x="12860867" y="0"/>
                      </a:cubicBezTo>
                      <a:cubicBezTo>
                        <a:pt x="12921580" y="836893"/>
                        <a:pt x="12799795" y="4031826"/>
                        <a:pt x="12860867" y="4656666"/>
                      </a:cubicBezTo>
                      <a:cubicBezTo>
                        <a:pt x="7514511" y="4706731"/>
                        <a:pt x="5180237" y="4498217"/>
                        <a:pt x="0" y="4656666"/>
                      </a:cubicBezTo>
                      <a:cubicBezTo>
                        <a:pt x="-24452" y="2977334"/>
                        <a:pt x="-67663" y="1538085"/>
                        <a:pt x="0" y="0"/>
                      </a:cubicBezTo>
                      <a:close/>
                    </a:path>
                  </a:pathLst>
                </a:custGeom>
                <ask:type>
                  <ask:lineSketchNone/>
                </ask:type>
              </ask:lineSketchStyleProps>
            </a:ext>
          </a:extLst>
        </a:ln>
        <a:effectLst>
          <a:outerShdw blurRad="63500" sx="102000" sy="102000" algn="ctr" rotWithShape="0">
            <a:schemeClr val="bg1">
              <a:alpha val="40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285750" indent="-285750">
            <a:spcBef>
              <a:spcPts val="0"/>
            </a:spcBef>
            <a:spcAft>
              <a:spcPts val="600"/>
            </a:spcAft>
            <a:buFont typeface="Arial" panose="020B0604020202020204" pitchFamily="34" charset="0"/>
            <a:buChar char="•"/>
          </a:pPr>
          <a:endParaRPr lang="en-US" sz="1800" b="1">
            <a:solidFill>
              <a:schemeClr val="bg1"/>
            </a:solidFill>
          </a:endParaRPr>
        </a:p>
        <a:p>
          <a:pPr marL="285750" indent="-285750">
            <a:spcBef>
              <a:spcPts val="0"/>
            </a:spcBef>
            <a:spcAft>
              <a:spcPts val="600"/>
            </a:spcAft>
            <a:buFont typeface="Arial" panose="020B0604020202020204" pitchFamily="34" charset="0"/>
            <a:buChar char="•"/>
          </a:pPr>
          <a:r>
            <a:rPr lang="en-US" sz="1800" b="1">
              <a:solidFill>
                <a:schemeClr val="bg1"/>
              </a:solidFill>
            </a:rPr>
            <a:t>Check turnover rate</a:t>
          </a:r>
          <a:r>
            <a:rPr lang="ar-EG" sz="1800" b="1">
              <a:solidFill>
                <a:schemeClr val="bg1"/>
              </a:solidFill>
            </a:rPr>
            <a:t>.</a:t>
          </a:r>
          <a:r>
            <a:rPr lang="en-US" sz="1600" b="1">
              <a:solidFill>
                <a:schemeClr val="bg1"/>
              </a:solidFill>
            </a:rPr>
            <a:t> </a:t>
          </a:r>
          <a:r>
            <a:rPr lang="en-US" sz="1400">
              <a:solidFill>
                <a:schemeClr val="bg1"/>
              </a:solidFill>
            </a:rPr>
            <a:t>19% of employees left. This can be high for some departments. Focus on keeping employees happy, especially in HR and Sales. </a:t>
          </a:r>
          <a:endParaRPr lang="en-US" sz="1600">
            <a:solidFill>
              <a:schemeClr val="bg1"/>
            </a:solidFill>
          </a:endParaRPr>
        </a:p>
        <a:p>
          <a:pPr marL="285750" indent="-285750">
            <a:spcBef>
              <a:spcPts val="0"/>
            </a:spcBef>
            <a:spcAft>
              <a:spcPts val="600"/>
            </a:spcAft>
            <a:buFont typeface="Arial" panose="020B0604020202020204" pitchFamily="34" charset="0"/>
            <a:buChar char="•"/>
          </a:pPr>
          <a:r>
            <a:rPr lang="en-US" sz="1800" b="1">
              <a:solidFill>
                <a:schemeClr val="bg1"/>
              </a:solidFill>
            </a:rPr>
            <a:t>Increase engagement.</a:t>
          </a:r>
          <a:r>
            <a:rPr lang="en-US" sz="1800">
              <a:solidFill>
                <a:schemeClr val="bg1"/>
              </a:solidFill>
            </a:rPr>
            <a:t> </a:t>
          </a:r>
          <a:r>
            <a:rPr lang="en-US" sz="1400">
              <a:solidFill>
                <a:schemeClr val="bg1"/>
              </a:solidFill>
            </a:rPr>
            <a:t>Engagement score is 3.0/5. Give rewards, and regular feedback to improve motivation. </a:t>
          </a:r>
          <a:endParaRPr lang="en-US" sz="1600">
            <a:solidFill>
              <a:schemeClr val="bg1"/>
            </a:solidFill>
          </a:endParaRPr>
        </a:p>
        <a:p>
          <a:pPr marL="285750" indent="-285750">
            <a:spcBef>
              <a:spcPts val="0"/>
            </a:spcBef>
            <a:spcAft>
              <a:spcPts val="600"/>
            </a:spcAft>
            <a:buFont typeface="Arial" panose="020B0604020202020204" pitchFamily="34" charset="0"/>
            <a:buChar char="•"/>
          </a:pPr>
          <a:r>
            <a:rPr lang="en-US" sz="1800" b="1">
              <a:solidFill>
                <a:schemeClr val="bg1"/>
              </a:solidFill>
            </a:rPr>
            <a:t>Help lower-paid employees.</a:t>
          </a:r>
          <a:r>
            <a:rPr lang="en-US" sz="1800">
              <a:solidFill>
                <a:schemeClr val="bg1"/>
              </a:solidFill>
            </a:rPr>
            <a:t> </a:t>
          </a:r>
          <a:r>
            <a:rPr lang="en-US" sz="1400">
              <a:solidFill>
                <a:schemeClr val="bg1"/>
              </a:solidFill>
            </a:rPr>
            <a:t>Low-salary employees have low engagement (2.74). Give small bonuses, learning opportunities, and support career</a:t>
          </a:r>
          <a:r>
            <a:rPr lang="ar-EG" sz="1400" baseline="0">
              <a:solidFill>
                <a:schemeClr val="bg1"/>
              </a:solidFill>
            </a:rPr>
            <a:t> </a:t>
          </a:r>
          <a:r>
            <a:rPr lang="en-US" sz="1400">
              <a:solidFill>
                <a:schemeClr val="bg1"/>
              </a:solidFill>
            </a:rPr>
            <a:t>growth. </a:t>
          </a:r>
        </a:p>
        <a:p>
          <a:pPr marL="285750" indent="-285750">
            <a:spcBef>
              <a:spcPts val="0"/>
            </a:spcBef>
            <a:spcAft>
              <a:spcPts val="600"/>
            </a:spcAft>
            <a:buFont typeface="Arial" panose="020B0604020202020204" pitchFamily="34" charset="0"/>
            <a:buChar char="•"/>
          </a:pPr>
          <a:r>
            <a:rPr lang="en-US" sz="1800" b="1">
              <a:solidFill>
                <a:schemeClr val="bg1"/>
              </a:solidFill>
            </a:rPr>
            <a:t>Control overtime hours.</a:t>
          </a:r>
          <a:r>
            <a:rPr lang="en-US" sz="1800">
              <a:solidFill>
                <a:schemeClr val="bg1"/>
              </a:solidFill>
            </a:rPr>
            <a:t> </a:t>
          </a:r>
          <a:r>
            <a:rPr lang="en-US" sz="1400">
              <a:solidFill>
                <a:schemeClr val="bg1"/>
              </a:solidFill>
            </a:rPr>
            <a:t>IT and Finance work more overtime (32 hours). Make workloads fair and encourage work-life balance. </a:t>
          </a:r>
        </a:p>
        <a:p>
          <a:pPr marL="285750" indent="-285750">
            <a:spcBef>
              <a:spcPts val="0"/>
            </a:spcBef>
            <a:spcAft>
              <a:spcPts val="600"/>
            </a:spcAft>
            <a:buFont typeface="Arial" panose="020B0604020202020204" pitchFamily="34" charset="0"/>
            <a:buChar char="•"/>
          </a:pPr>
          <a:r>
            <a:rPr lang="en-US" sz="1800" b="1">
              <a:solidFill>
                <a:schemeClr val="bg1"/>
              </a:solidFill>
            </a:rPr>
            <a:t>Check department performance.</a:t>
          </a:r>
          <a:r>
            <a:rPr lang="en-US" sz="1800">
              <a:solidFill>
                <a:schemeClr val="bg1"/>
              </a:solidFill>
            </a:rPr>
            <a:t> </a:t>
          </a:r>
          <a:r>
            <a:rPr lang="en-US" sz="1400">
              <a:solidFill>
                <a:schemeClr val="bg1"/>
              </a:solidFill>
            </a:rPr>
            <a:t>Operations, HR, and Sales have higher turnover. Find reasons and improve working conditions. </a:t>
          </a:r>
          <a:endParaRPr lang="en-US" sz="1600">
            <a:solidFill>
              <a:schemeClr val="bg1"/>
            </a:solidFill>
          </a:endParaRPr>
        </a:p>
        <a:p>
          <a:pPr marL="285750" indent="-285750">
            <a:spcBef>
              <a:spcPts val="0"/>
            </a:spcBef>
            <a:spcAft>
              <a:spcPts val="600"/>
            </a:spcAft>
            <a:buFont typeface="Arial" panose="020B0604020202020204" pitchFamily="34" charset="0"/>
            <a:buChar char="•"/>
          </a:pPr>
          <a:r>
            <a:rPr lang="en-US" sz="1800" b="1">
              <a:solidFill>
                <a:schemeClr val="bg1"/>
              </a:solidFill>
            </a:rPr>
            <a:t>High performance is not always linked to high training cost.</a:t>
          </a:r>
          <a:r>
            <a:rPr lang="en-US" sz="1800">
              <a:solidFill>
                <a:schemeClr val="bg1"/>
              </a:solidFill>
            </a:rPr>
            <a:t> </a:t>
          </a:r>
          <a:r>
            <a:rPr lang="en-US" sz="1400">
              <a:solidFill>
                <a:schemeClr val="bg1"/>
              </a:solidFill>
            </a:rPr>
            <a:t>Training costs differ by department and type of work. Some departments, like Sales, can perform very well with lower training cost.</a:t>
          </a:r>
          <a:endParaRPr lang="ar-EG" sz="1800">
            <a:solidFill>
              <a:schemeClr val="bg1"/>
            </a:solidFill>
          </a:endParaRPr>
        </a:p>
        <a:p>
          <a:pPr marL="285750" indent="-285750">
            <a:spcBef>
              <a:spcPts val="0"/>
            </a:spcBef>
            <a:spcAft>
              <a:spcPts val="600"/>
            </a:spcAft>
            <a:buFont typeface="Arial" panose="020B0604020202020204" pitchFamily="34" charset="0"/>
            <a:buChar char="•"/>
          </a:pPr>
          <a:r>
            <a:rPr lang="en-US" sz="1800" b="1">
              <a:solidFill>
                <a:schemeClr val="bg1"/>
              </a:solidFill>
            </a:rPr>
            <a:t>Reduce absence days.</a:t>
          </a:r>
          <a:r>
            <a:rPr lang="en-US" sz="1600">
              <a:solidFill>
                <a:schemeClr val="bg1"/>
              </a:solidFill>
            </a:rPr>
            <a:t> </a:t>
          </a:r>
          <a:r>
            <a:rPr lang="en-US" sz="1400">
              <a:solidFill>
                <a:schemeClr val="bg1"/>
              </a:solidFill>
            </a:rPr>
            <a:t>Average absence is 11 days. IT and Finance have more. Use wellness programs and absence rules. </a:t>
          </a:r>
          <a:endParaRPr lang="en-US" sz="1600">
            <a:solidFill>
              <a:schemeClr val="bg1"/>
            </a:solidFill>
          </a:endParaRPr>
        </a:p>
        <a:p>
          <a:pPr marL="285750" indent="-285750">
            <a:spcBef>
              <a:spcPts val="0"/>
            </a:spcBef>
            <a:spcAft>
              <a:spcPts val="600"/>
            </a:spcAft>
            <a:buFont typeface="Arial" panose="020B0604020202020204" pitchFamily="34" charset="0"/>
            <a:buChar char="•"/>
          </a:pPr>
          <a:r>
            <a:rPr lang="en-US" sz="1800" b="1">
              <a:solidFill>
                <a:schemeClr val="bg1"/>
              </a:solidFill>
            </a:rPr>
            <a:t>Review salaries.</a:t>
          </a:r>
          <a:r>
            <a:rPr lang="en-US" sz="1800">
              <a:solidFill>
                <a:schemeClr val="bg1"/>
              </a:solidFill>
            </a:rPr>
            <a:t> </a:t>
          </a:r>
          <a:r>
            <a:rPr lang="en-US" sz="1400">
              <a:solidFill>
                <a:schemeClr val="bg1"/>
              </a:solidFill>
            </a:rPr>
            <a:t>Some departments pay more than others. Make salaries fair and competitive. </a:t>
          </a:r>
        </a:p>
        <a:p>
          <a:pPr marL="285750" indent="-285750">
            <a:spcBef>
              <a:spcPts val="0"/>
            </a:spcBef>
            <a:spcAft>
              <a:spcPts val="600"/>
            </a:spcAft>
            <a:buFont typeface="Arial" panose="020B0604020202020204" pitchFamily="34" charset="0"/>
            <a:buChar char="•"/>
          </a:pPr>
          <a:r>
            <a:rPr lang="en-US" sz="1800" b="1">
              <a:solidFill>
                <a:schemeClr val="bg1"/>
              </a:solidFill>
            </a:rPr>
            <a:t>Plan for career growth.</a:t>
          </a:r>
          <a:r>
            <a:rPr lang="en-US" sz="1800">
              <a:solidFill>
                <a:schemeClr val="bg1"/>
              </a:solidFill>
            </a:rPr>
            <a:t> </a:t>
          </a:r>
          <a:r>
            <a:rPr lang="en-US" sz="1400">
              <a:solidFill>
                <a:schemeClr val="bg1"/>
              </a:solidFill>
            </a:rPr>
            <a:t>Older employees (+40) have long experience. Use their knowledge to guide younger staff. </a:t>
          </a:r>
          <a:endParaRPr lang="en-US" sz="1600">
            <a:solidFill>
              <a:schemeClr val="bg1"/>
            </a:solidFill>
          </a:endParaRPr>
        </a:p>
      </xdr:txBody>
    </xdr:sp>
    <xdr:clientData/>
  </xdr:twoCellAnchor>
  <xdr:oneCellAnchor>
    <xdr:from>
      <xdr:col>9</xdr:col>
      <xdr:colOff>67734</xdr:colOff>
      <xdr:row>2</xdr:row>
      <xdr:rowOff>93134</xdr:rowOff>
    </xdr:from>
    <xdr:ext cx="184731" cy="264560"/>
    <xdr:sp macro="" textlink="">
      <xdr:nvSpPr>
        <xdr:cNvPr id="38" name="TextBox 37">
          <a:extLst>
            <a:ext uri="{FF2B5EF4-FFF2-40B4-BE49-F238E27FC236}">
              <a16:creationId xmlns:a16="http://schemas.microsoft.com/office/drawing/2014/main" id="{E9CE454A-3CD8-773B-2559-FFF1C31D7180}"/>
            </a:ext>
          </a:extLst>
        </xdr:cNvPr>
        <xdr:cNvSpPr txBox="1"/>
      </xdr:nvSpPr>
      <xdr:spPr>
        <a:xfrm>
          <a:off x="5554134" y="46566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solidFill>
              <a:schemeClr val="bg1"/>
            </a:solidFill>
          </a:endParaRPr>
        </a:p>
      </xdr:txBody>
    </xdr:sp>
    <xdr:clientData/>
  </xdr:oneCellAnchor>
  <xdr:oneCellAnchor>
    <xdr:from>
      <xdr:col>9</xdr:col>
      <xdr:colOff>364066</xdr:colOff>
      <xdr:row>2</xdr:row>
      <xdr:rowOff>8465</xdr:rowOff>
    </xdr:from>
    <xdr:ext cx="3229667" cy="405432"/>
    <xdr:sp macro="" textlink="">
      <xdr:nvSpPr>
        <xdr:cNvPr id="39" name="TextBox 38">
          <a:extLst>
            <a:ext uri="{FF2B5EF4-FFF2-40B4-BE49-F238E27FC236}">
              <a16:creationId xmlns:a16="http://schemas.microsoft.com/office/drawing/2014/main" id="{16997FD8-CF9E-0A2A-5528-6727C0D58F6D}"/>
            </a:ext>
          </a:extLst>
        </xdr:cNvPr>
        <xdr:cNvSpPr txBox="1"/>
      </xdr:nvSpPr>
      <xdr:spPr>
        <a:xfrm>
          <a:off x="5850466" y="380998"/>
          <a:ext cx="322966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a:solidFill>
                <a:schemeClr val="bg1"/>
              </a:solidFill>
            </a:rPr>
            <a:t>Findings &amp; Recommendations</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47.424686689817" createdVersion="8" refreshedVersion="8" minRefreshableVersion="3" recordCount="200" xr:uid="{2FFBE8F5-74F4-42CB-BE9B-2F74AB3A05C1}">
  <cacheSource type="worksheet">
    <worksheetSource name="full_row_data"/>
  </cacheSource>
  <cacheFields count="30">
    <cacheField name="EmployeeID" numFmtId="0">
      <sharedItems containsSemiMixedTypes="0" containsString="0" containsNumber="1" containsInteger="1" minValue="1" maxValue="200"/>
    </cacheField>
    <cacheField name="Name" numFmtId="0">
      <sharedItems/>
    </cacheField>
    <cacheField name="Department" numFmtId="0">
      <sharedItems count="6">
        <s v="Operations"/>
        <s v="Sales"/>
        <s v="HR"/>
        <s v="IT"/>
        <s v="Finance"/>
        <s v="Marketing"/>
      </sharedItems>
    </cacheField>
    <cacheField name="JobRole" numFmtId="0">
      <sharedItems/>
    </cacheField>
    <cacheField name="Gender" numFmtId="0">
      <sharedItems count="4">
        <s v="Male "/>
        <s v="Female "/>
        <s v="Male" u="1"/>
        <s v="Female" u="1"/>
      </sharedItems>
    </cacheField>
    <cacheField name="Age" numFmtId="0">
      <sharedItems containsSemiMixedTypes="0" containsString="0" containsNumber="1" containsInteger="1" minValue="22" maxValue="50"/>
    </cacheField>
    <cacheField name="Age Category" numFmtId="0">
      <sharedItems count="3">
        <s v="+40"/>
        <s v="30-40"/>
        <s v="Under 30"/>
      </sharedItems>
    </cacheField>
    <cacheField name="HireDate" numFmtId="14">
      <sharedItems containsSemiMixedTypes="0" containsNonDate="0" containsDate="1" containsString="0" minDate="2018-01-03T00:00:00" maxDate="2025-01-02T00:00:00" count="194">
        <d v="2019-04-02T00:00:00"/>
        <d v="2024-10-01T00:00:00"/>
        <d v="2021-10-10T00:00:00"/>
        <d v="2024-12-08T00:00:00"/>
        <d v="2019-09-03T00:00:00"/>
        <d v="2023-02-01T00:00:00"/>
        <d v="2019-11-01T00:00:00"/>
        <d v="2021-07-12T00:00:00"/>
        <d v="2024-06-15T00:00:00"/>
        <d v="2023-05-11T00:00:00"/>
        <d v="2020-06-17T00:00:00"/>
        <d v="2024-09-06T00:00:00"/>
        <d v="2020-12-14T00:00:00"/>
        <d v="2018-01-03T00:00:00"/>
        <d v="2023-06-23T00:00:00"/>
        <d v="2022-03-02T00:00:00"/>
        <d v="2023-12-22T00:00:00"/>
        <d v="2022-03-10T00:00:00"/>
        <d v="2018-08-30T00:00:00"/>
        <d v="2018-12-27T00:00:00"/>
        <d v="2023-08-20T00:00:00"/>
        <d v="2024-09-14T00:00:00"/>
        <d v="2022-07-26T00:00:00"/>
        <d v="2020-12-23T00:00:00"/>
        <d v="2019-01-09T00:00:00"/>
        <d v="2020-10-15T00:00:00"/>
        <d v="2024-04-02T00:00:00"/>
        <d v="2023-07-01T00:00:00"/>
        <d v="2018-03-02T00:00:00"/>
        <d v="2021-03-14T00:00:00"/>
        <d v="2024-07-20T00:00:00"/>
        <d v="2024-09-01T00:00:00"/>
        <d v="2021-12-19T00:00:00"/>
        <d v="2018-10-25T00:00:00"/>
        <d v="2024-02-04T00:00:00"/>
        <d v="2019-08-16T00:00:00"/>
        <d v="2019-09-29T00:00:00"/>
        <d v="2024-10-19T00:00:00"/>
        <d v="2022-10-01T00:00:00"/>
        <d v="2022-06-07T00:00:00"/>
        <d v="2020-10-13T00:00:00"/>
        <d v="2020-03-02T00:00:00"/>
        <d v="2024-01-15T00:00:00"/>
        <d v="2021-04-26T00:00:00"/>
        <d v="2024-10-20T00:00:00"/>
        <d v="2019-01-18T00:00:00"/>
        <d v="2023-01-18T00:00:00"/>
        <d v="2023-04-09T00:00:00"/>
        <d v="2018-11-27T00:00:00"/>
        <d v="2021-12-03T00:00:00"/>
        <d v="2018-03-22T00:00:00"/>
        <d v="2021-12-08T00:00:00"/>
        <d v="2024-08-21T00:00:00"/>
        <d v="2022-04-02T00:00:00"/>
        <d v="2020-10-09T00:00:00"/>
        <d v="2023-11-27T00:00:00"/>
        <d v="2024-10-23T00:00:00"/>
        <d v="2020-09-21T00:00:00"/>
        <d v="2024-08-23T00:00:00"/>
        <d v="2020-05-18T00:00:00"/>
        <d v="2020-09-11T00:00:00"/>
        <d v="2023-11-25T00:00:00"/>
        <d v="2021-11-09T00:00:00"/>
        <d v="2022-08-29T00:00:00"/>
        <d v="2022-06-16T00:00:00"/>
        <d v="2025-01-01T00:00:00"/>
        <d v="2020-01-29T00:00:00"/>
        <d v="2018-07-06T00:00:00"/>
        <d v="2019-02-11T00:00:00"/>
        <d v="2020-02-18T00:00:00"/>
        <d v="2022-07-07T00:00:00"/>
        <d v="2021-02-28T00:00:00"/>
        <d v="2024-06-14T00:00:00"/>
        <d v="2022-12-16T00:00:00"/>
        <d v="2022-07-30T00:00:00"/>
        <d v="2024-07-03T00:00:00"/>
        <d v="2020-09-05T00:00:00"/>
        <d v="2022-10-28T00:00:00"/>
        <d v="2021-10-18T00:00:00"/>
        <d v="2021-03-23T00:00:00"/>
        <d v="2023-04-27T00:00:00"/>
        <d v="2024-08-09T00:00:00"/>
        <d v="2022-03-16T00:00:00"/>
        <d v="2019-12-21T00:00:00"/>
        <d v="2023-03-04T00:00:00"/>
        <d v="2022-10-04T00:00:00"/>
        <d v="2018-03-31T00:00:00"/>
        <d v="2018-06-02T00:00:00"/>
        <d v="2019-09-25T00:00:00"/>
        <d v="2022-01-09T00:00:00"/>
        <d v="2024-05-01T00:00:00"/>
        <d v="2020-10-23T00:00:00"/>
        <d v="2018-09-07T00:00:00"/>
        <d v="2022-09-29T00:00:00"/>
        <d v="2022-02-14T00:00:00"/>
        <d v="2019-10-07T00:00:00"/>
        <d v="2022-09-07T00:00:00"/>
        <d v="2021-12-02T00:00:00"/>
        <d v="2024-04-28T00:00:00"/>
        <d v="2018-10-31T00:00:00"/>
        <d v="2024-03-20T00:00:00"/>
        <d v="2023-08-29T00:00:00"/>
        <d v="2018-03-16T00:00:00"/>
        <d v="2020-08-30T00:00:00"/>
        <d v="2024-03-21T00:00:00"/>
        <d v="2021-10-05T00:00:00"/>
        <d v="2020-06-02T00:00:00"/>
        <d v="2023-12-04T00:00:00"/>
        <d v="2023-02-16T00:00:00"/>
        <d v="2022-01-07T00:00:00"/>
        <d v="2018-12-17T00:00:00"/>
        <d v="2022-02-26T00:00:00"/>
        <d v="2023-04-02T00:00:00"/>
        <d v="2021-11-13T00:00:00"/>
        <d v="2018-09-16T00:00:00"/>
        <d v="2018-05-30T00:00:00"/>
        <d v="2022-08-12T00:00:00"/>
        <d v="2022-05-03T00:00:00"/>
        <d v="2018-10-26T00:00:00"/>
        <d v="2024-02-13T00:00:00"/>
        <d v="2021-12-15T00:00:00"/>
        <d v="2018-05-23T00:00:00"/>
        <d v="2023-12-09T00:00:00"/>
        <d v="2022-04-21T00:00:00"/>
        <d v="2020-05-28T00:00:00"/>
        <d v="2022-11-16T00:00:00"/>
        <d v="2024-03-02T00:00:00"/>
        <d v="2019-06-25T00:00:00"/>
        <d v="2019-01-04T00:00:00"/>
        <d v="2024-03-19T00:00:00"/>
        <d v="2021-03-28T00:00:00"/>
        <d v="2021-07-09T00:00:00"/>
        <d v="2018-04-04T00:00:00"/>
        <d v="2022-05-10T00:00:00"/>
        <d v="2018-10-30T00:00:00"/>
        <d v="2021-11-28T00:00:00"/>
        <d v="2023-10-24T00:00:00"/>
        <d v="2021-05-25T00:00:00"/>
        <d v="2018-07-05T00:00:00"/>
        <d v="2019-07-28T00:00:00"/>
        <d v="2024-06-20T00:00:00"/>
        <d v="2021-05-13T00:00:00"/>
        <d v="2022-09-09T00:00:00"/>
        <d v="2021-06-01T00:00:00"/>
        <d v="2021-05-03T00:00:00"/>
        <d v="2018-02-03T00:00:00"/>
        <d v="2019-07-19T00:00:00"/>
        <d v="2023-09-17T00:00:00"/>
        <d v="2023-06-11T00:00:00"/>
        <d v="2024-11-16T00:00:00"/>
        <d v="2020-09-20T00:00:00"/>
        <d v="2021-08-29T00:00:00"/>
        <d v="2018-12-05T00:00:00"/>
        <d v="2018-10-29T00:00:00"/>
        <d v="2021-09-14T00:00:00"/>
        <d v="2021-03-31T00:00:00"/>
        <d v="2019-04-13T00:00:00"/>
        <d v="2022-10-26T00:00:00"/>
        <d v="2023-01-12T00:00:00"/>
        <d v="2019-02-08T00:00:00"/>
        <d v="2021-12-13T00:00:00"/>
        <d v="2022-01-10T00:00:00"/>
        <d v="2018-02-20T00:00:00"/>
        <d v="2019-01-26T00:00:00"/>
        <d v="2019-03-25T00:00:00"/>
        <d v="2019-11-30T00:00:00"/>
        <d v="2022-08-19T00:00:00"/>
        <d v="2021-05-07T00:00:00"/>
        <d v="2021-11-14T00:00:00"/>
        <d v="2021-01-15T00:00:00"/>
        <d v="2018-08-31T00:00:00"/>
        <d v="2022-07-19T00:00:00"/>
        <d v="2023-08-21T00:00:00"/>
        <d v="2024-02-28T00:00:00"/>
        <d v="2023-09-02T00:00:00"/>
        <d v="2023-10-04T00:00:00"/>
        <d v="2022-09-14T00:00:00"/>
        <d v="2020-08-05T00:00:00"/>
        <d v="2020-08-17T00:00:00"/>
        <d v="2020-06-24T00:00:00"/>
        <d v="2023-03-24T00:00:00"/>
        <d v="2024-12-13T00:00:00"/>
        <d v="2018-05-10T00:00:00"/>
        <d v="2018-03-06T00:00:00"/>
        <d v="2018-12-24T00:00:00"/>
        <d v="2023-05-17T00:00:00"/>
        <d v="2020-10-31T00:00:00"/>
        <d v="2024-01-09T00:00:00"/>
        <d v="2021-04-25T00:00:00"/>
        <d v="2022-08-24T00:00:00"/>
        <d v="2023-01-28T00:00:00"/>
        <d v="2024-04-12T00:00:00"/>
        <d v="2020-12-10T00:00:00"/>
        <d v="2020-04-27T00:00:00"/>
      </sharedItems>
      <fieldGroup par="26"/>
    </cacheField>
    <cacheField name="ExitDate" numFmtId="14">
      <sharedItems containsNonDate="0" containsDate="1" containsString="0" containsBlank="1" minDate="2018-12-02T00:00:00" maxDate="2024-10-26T00:00:00" count="38">
        <d v="2020-11-15T00:00:00"/>
        <m/>
        <d v="2023-12-27T00:00:00"/>
        <d v="2024-05-29T00:00:00"/>
        <d v="2023-10-21T00:00:00"/>
        <d v="2023-07-23T00:00:00"/>
        <d v="2018-12-02T00:00:00"/>
        <d v="2023-03-11T00:00:00"/>
        <d v="2024-05-27T00:00:00"/>
        <d v="2023-11-17T00:00:00"/>
        <d v="2022-05-19T00:00:00"/>
        <d v="2020-04-13T00:00:00"/>
        <d v="2022-10-27T00:00:00"/>
        <d v="2020-12-19T00:00:00"/>
        <d v="2022-06-30T00:00:00"/>
        <d v="2024-05-03T00:00:00"/>
        <d v="2023-06-25T00:00:00"/>
        <d v="2022-11-15T00:00:00"/>
        <d v="2023-04-18T00:00:00"/>
        <d v="2023-01-14T00:00:00"/>
        <d v="2023-08-27T00:00:00"/>
        <d v="2023-10-07T00:00:00"/>
        <d v="2019-10-18T00:00:00"/>
        <d v="2023-11-18T00:00:00"/>
        <d v="2024-02-23T00:00:00"/>
        <d v="2023-07-30T00:00:00"/>
        <d v="2020-09-08T00:00:00"/>
        <d v="2024-10-25T00:00:00"/>
        <d v="2023-09-01T00:00:00"/>
        <d v="2023-09-19T00:00:00"/>
        <d v="2023-04-10T00:00:00"/>
        <d v="2019-10-09T00:00:00"/>
        <d v="2021-06-16T00:00:00"/>
        <d v="2023-02-05T00:00:00"/>
        <d v="2022-03-12T00:00:00"/>
        <d v="2021-07-10T00:00:00"/>
        <d v="2020-07-24T00:00:00"/>
        <d v="2021-07-30T00:00:00"/>
      </sharedItems>
      <fieldGroup par="29"/>
    </cacheField>
    <cacheField name="ExitStatus" numFmtId="0">
      <sharedItems count="2">
        <s v="Left"/>
        <s v="Still Work"/>
      </sharedItems>
    </cacheField>
    <cacheField name="Year" numFmtId="0">
      <sharedItems containsSemiMixedTypes="0" containsString="0" containsNumber="1" containsInteger="1" minValue="2018" maxValue="2025" count="8">
        <n v="2019"/>
        <n v="2024"/>
        <n v="2021"/>
        <n v="2023"/>
        <n v="2020"/>
        <n v="2018"/>
        <n v="2022"/>
        <n v="2025"/>
      </sharedItems>
    </cacheField>
    <cacheField name="AttendanceDays" numFmtId="0">
      <sharedItems containsSemiMixedTypes="0" containsString="0" containsNumber="1" containsInteger="1" minValue="63" maxValue="3042"/>
    </cacheField>
    <cacheField name="AttendanceMonths" numFmtId="0">
      <sharedItems containsSemiMixedTypes="0" containsString="0" containsNumber="1" containsInteger="1" minValue="2" maxValue="101" count="90">
        <n v="20"/>
        <n v="19"/>
        <n v="27"/>
        <n v="17"/>
        <n v="81"/>
        <n v="39"/>
        <n v="79"/>
        <n v="34"/>
        <n v="23"/>
        <n v="5"/>
        <n v="71"/>
        <n v="65"/>
        <n v="101"/>
        <n v="16"/>
        <n v="29"/>
        <n v="50"/>
        <n v="3"/>
        <n v="89"/>
        <n v="32"/>
        <n v="7"/>
        <n v="41"/>
        <n v="37"/>
        <n v="25"/>
        <n v="99"/>
        <n v="63"/>
        <n v="21"/>
        <n v="53"/>
        <n v="43"/>
        <n v="82"/>
        <n v="80"/>
        <n v="18"/>
        <n v="48"/>
        <n v="67"/>
        <n v="75"/>
        <n v="28"/>
        <n v="61"/>
        <n v="40"/>
        <n v="98"/>
        <n v="11"/>
        <n v="49"/>
        <n v="2"/>
        <n v="72"/>
        <n v="68"/>
        <n v="54"/>
        <n v="10"/>
        <n v="47"/>
        <n v="95"/>
        <n v="88"/>
        <n v="76"/>
        <n v="46"/>
        <n v="8"/>
        <n v="22"/>
        <n v="42"/>
        <n v="55"/>
        <n v="62"/>
        <n v="6"/>
        <n v="96"/>
        <n v="24"/>
        <n v="93"/>
        <n v="44"/>
        <n v="91"/>
        <n v="26"/>
        <n v="69"/>
        <n v="52"/>
        <n v="90"/>
        <n v="51"/>
        <n v="92"/>
        <n v="45"/>
        <n v="84"/>
        <n v="35"/>
        <n v="58"/>
        <n v="15"/>
        <n v="12"/>
        <n v="60"/>
        <n v="100"/>
        <n v="56"/>
        <n v="86"/>
        <n v="78"/>
        <n v="64"/>
        <n v="33"/>
        <n v="31"/>
        <n v="38"/>
        <n v="36"/>
        <n v="73"/>
        <n v="83" u="1"/>
        <n v="59" u="1"/>
        <n v="66" u="1"/>
        <n v="94" u="1"/>
        <n v="85" u="1"/>
        <n v="70" u="1"/>
      </sharedItems>
    </cacheField>
    <cacheField name="AbsenceDays" numFmtId="0">
      <sharedItems containsSemiMixedTypes="0" containsString="0" containsNumber="1" containsInteger="1" minValue="0" maxValue="20"/>
    </cacheField>
    <cacheField name="Salary" numFmtId="0">
      <sharedItems containsSemiMixedTypes="0" containsString="0" containsNumber="1" containsInteger="1" minValue="4154" maxValue="14980"/>
    </cacheField>
    <cacheField name="Salary Category" numFmtId="0">
      <sharedItems count="3">
        <s v="High"/>
        <s v="Mid"/>
        <s v="Low"/>
      </sharedItems>
    </cacheField>
    <cacheField name="PerformanceScore" numFmtId="0">
      <sharedItems containsSemiMixedTypes="0" containsString="0" containsNumber="1" minValue="2.54" maxValue="5"/>
    </cacheField>
    <cacheField name="PerformanceCategory" numFmtId="0">
      <sharedItems count="3">
        <s v="Low"/>
        <s v="High"/>
        <s v="Medium"/>
      </sharedItems>
    </cacheField>
    <cacheField name="SatisfactionScore" numFmtId="0">
      <sharedItems containsSemiMixedTypes="0" containsString="0" containsNumber="1" containsInteger="1" minValue="1" maxValue="5" count="5">
        <n v="4"/>
        <n v="1"/>
        <n v="5"/>
        <n v="3"/>
        <n v="2"/>
      </sharedItems>
    </cacheField>
    <cacheField name="EngagementScore" numFmtId="0">
      <sharedItems containsSemiMixedTypes="0" containsString="0" containsNumber="1" containsInteger="1" minValue="1" maxValue="5"/>
    </cacheField>
    <cacheField name="OvertimeHours" numFmtId="0">
      <sharedItems containsSemiMixedTypes="0" containsString="0" containsNumber="1" containsInteger="1" minValue="0" maxValue="60"/>
    </cacheField>
    <cacheField name="TrainingHours" numFmtId="0">
      <sharedItems containsSemiMixedTypes="0" containsString="0" containsNumber="1" containsInteger="1" minValue="0" maxValue="40"/>
    </cacheField>
    <cacheField name="TrainingCost" numFmtId="0">
      <sharedItems containsSemiMixedTypes="0" containsString="0" containsNumber="1" containsInteger="1" minValue="103" maxValue="1987"/>
    </cacheField>
    <cacheField name="TrainingEfficiency" numFmtId="0">
      <sharedItems containsString="0" containsBlank="1" containsNumber="1" containsInteger="1" minValue="4" maxValue="1957"/>
    </cacheField>
    <cacheField name="Months (HireDate)" numFmtId="0" databaseField="0">
      <fieldGroup base="7">
        <rangePr groupBy="months" startDate="2018-01-03T00:00:00" endDate="2025-01-02T00:00:00"/>
        <groupItems count="14">
          <s v="&lt;1/3/2018"/>
          <s v="Jan"/>
          <s v="Feb"/>
          <s v="Mar"/>
          <s v="Apr"/>
          <s v="May"/>
          <s v="Jun"/>
          <s v="Jul"/>
          <s v="Aug"/>
          <s v="Sep"/>
          <s v="Oct"/>
          <s v="Nov"/>
          <s v="Dec"/>
          <s v="&gt;1/2/2025"/>
        </groupItems>
      </fieldGroup>
    </cacheField>
    <cacheField name="Quarters (HireDate)" numFmtId="0" databaseField="0">
      <fieldGroup base="7">
        <rangePr groupBy="quarters" startDate="2018-01-03T00:00:00" endDate="2025-01-02T00:00:00"/>
        <groupItems count="6">
          <s v="&lt;1/3/2018"/>
          <s v="Qtr1"/>
          <s v="Qtr2"/>
          <s v="Qtr3"/>
          <s v="Qtr4"/>
          <s v="&gt;1/2/2025"/>
        </groupItems>
      </fieldGroup>
    </cacheField>
    <cacheField name="Years (HireDate)" numFmtId="0" databaseField="0">
      <fieldGroup base="7">
        <rangePr groupBy="years" startDate="2018-01-03T00:00:00" endDate="2025-01-02T00:00:00"/>
        <groupItems count="10">
          <s v="&lt;1/3/2018"/>
          <s v="2018"/>
          <s v="2019"/>
          <s v="2020"/>
          <s v="2021"/>
          <s v="2022"/>
          <s v="2023"/>
          <s v="2024"/>
          <s v="2025"/>
          <s v="&gt;1/2/2025"/>
        </groupItems>
      </fieldGroup>
    </cacheField>
    <cacheField name="Months (ExitDate)" numFmtId="0" databaseField="0">
      <fieldGroup base="8">
        <rangePr groupBy="months" startDate="2018-12-02T00:00:00" endDate="2024-10-26T00:00:00"/>
        <groupItems count="14">
          <s v="&lt;12/2/2018"/>
          <s v="Jan"/>
          <s v="Feb"/>
          <s v="Mar"/>
          <s v="Apr"/>
          <s v="May"/>
          <s v="Jun"/>
          <s v="Jul"/>
          <s v="Aug"/>
          <s v="Sep"/>
          <s v="Oct"/>
          <s v="Nov"/>
          <s v="Dec"/>
          <s v="&gt;10/26/2024"/>
        </groupItems>
      </fieldGroup>
    </cacheField>
    <cacheField name="Quarters (ExitDate)" numFmtId="0" databaseField="0">
      <fieldGroup base="8">
        <rangePr groupBy="quarters" startDate="2018-12-02T00:00:00" endDate="2024-10-26T00:00:00"/>
        <groupItems count="6">
          <s v="&lt;12/2/2018"/>
          <s v="Qtr1"/>
          <s v="Qtr2"/>
          <s v="Qtr3"/>
          <s v="Qtr4"/>
          <s v="&gt;10/26/2024"/>
        </groupItems>
      </fieldGroup>
    </cacheField>
    <cacheField name="Years (ExitDate)" numFmtId="0" databaseField="0">
      <fieldGroup base="8">
        <rangePr groupBy="years" startDate="2018-12-02T00:00:00" endDate="2024-10-26T00:00:00"/>
        <groupItems count="9">
          <s v="&lt;12/2/2018"/>
          <s v="2018"/>
          <s v="2019"/>
          <s v="2020"/>
          <s v="2021"/>
          <s v="2022"/>
          <s v="2023"/>
          <s v="2024"/>
          <s v="&gt;10/26/2024"/>
        </groupItems>
      </fieldGroup>
    </cacheField>
  </cacheFields>
  <extLst>
    <ext xmlns:x14="http://schemas.microsoft.com/office/spreadsheetml/2009/9/main" uri="{725AE2AE-9491-48be-B2B4-4EB974FC3084}">
      <x14:pivotCacheDefinition pivotCacheId="12079485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s v="Amr Ibrahim"/>
    <x v="0"/>
    <s v="Operations Analyst"/>
    <x v="0"/>
    <n v="43"/>
    <x v="0"/>
    <x v="0"/>
    <x v="0"/>
    <x v="0"/>
    <x v="0"/>
    <n v="593"/>
    <x v="0"/>
    <n v="0"/>
    <n v="12935"/>
    <x v="0"/>
    <n v="2.72"/>
    <x v="0"/>
    <x v="0"/>
    <n v="1"/>
    <n v="5"/>
    <n v="13"/>
    <n v="576"/>
    <n v="44"/>
  </r>
  <r>
    <n v="2"/>
    <s v="Salma Mostafa"/>
    <x v="1"/>
    <s v="Sales Executive"/>
    <x v="1"/>
    <n v="40"/>
    <x v="1"/>
    <x v="1"/>
    <x v="1"/>
    <x v="1"/>
    <x v="1"/>
    <n v="568"/>
    <x v="1"/>
    <n v="13"/>
    <n v="8557"/>
    <x v="1"/>
    <n v="4.5199999999999996"/>
    <x v="1"/>
    <x v="1"/>
    <n v="2"/>
    <n v="21"/>
    <n v="17"/>
    <n v="418"/>
    <n v="25"/>
  </r>
  <r>
    <n v="3"/>
    <s v="Mostafa Khaled"/>
    <x v="2"/>
    <s v="Recruiter"/>
    <x v="0"/>
    <n v="47"/>
    <x v="0"/>
    <x v="2"/>
    <x v="2"/>
    <x v="0"/>
    <x v="2"/>
    <n v="796"/>
    <x v="2"/>
    <n v="12"/>
    <n v="4711"/>
    <x v="2"/>
    <n v="4.32"/>
    <x v="2"/>
    <x v="2"/>
    <n v="1"/>
    <n v="5"/>
    <n v="35"/>
    <n v="700"/>
    <n v="20"/>
  </r>
  <r>
    <n v="4"/>
    <s v="Mona Nabil"/>
    <x v="0"/>
    <s v="Operations Analyst"/>
    <x v="1"/>
    <n v="23"/>
    <x v="2"/>
    <x v="3"/>
    <x v="1"/>
    <x v="1"/>
    <x v="1"/>
    <n v="506"/>
    <x v="3"/>
    <n v="7"/>
    <n v="14834"/>
    <x v="0"/>
    <n v="3.07"/>
    <x v="0"/>
    <x v="3"/>
    <n v="1"/>
    <n v="55"/>
    <n v="6"/>
    <n v="878"/>
    <n v="146"/>
  </r>
  <r>
    <n v="25"/>
    <s v="Mona Nabil"/>
    <x v="3"/>
    <s v="Software Engineer"/>
    <x v="1"/>
    <n v="26"/>
    <x v="2"/>
    <x v="4"/>
    <x v="1"/>
    <x v="1"/>
    <x v="0"/>
    <n v="2430"/>
    <x v="4"/>
    <n v="6"/>
    <n v="4685"/>
    <x v="2"/>
    <n v="3.27"/>
    <x v="0"/>
    <x v="1"/>
    <n v="3"/>
    <n v="43"/>
    <n v="15"/>
    <n v="1465"/>
    <n v="98"/>
  </r>
  <r>
    <n v="5"/>
    <s v="Mona Ali"/>
    <x v="4"/>
    <s v="Financial Analyst"/>
    <x v="1"/>
    <n v="28"/>
    <x v="2"/>
    <x v="5"/>
    <x v="1"/>
    <x v="1"/>
    <x v="3"/>
    <n v="1169"/>
    <x v="5"/>
    <n v="20"/>
    <n v="14980"/>
    <x v="0"/>
    <n v="3.17"/>
    <x v="0"/>
    <x v="1"/>
    <n v="5"/>
    <n v="10"/>
    <n v="34"/>
    <n v="1593"/>
    <n v="47"/>
  </r>
  <r>
    <n v="6"/>
    <s v="Hassan Fathy"/>
    <x v="2"/>
    <s v="HR Specialist"/>
    <x v="0"/>
    <n v="48"/>
    <x v="0"/>
    <x v="6"/>
    <x v="1"/>
    <x v="1"/>
    <x v="0"/>
    <n v="2365"/>
    <x v="6"/>
    <n v="12"/>
    <n v="4916"/>
    <x v="2"/>
    <n v="3.07"/>
    <x v="0"/>
    <x v="1"/>
    <n v="3"/>
    <n v="17"/>
    <n v="4"/>
    <n v="532"/>
    <n v="133"/>
  </r>
  <r>
    <n v="7"/>
    <s v="Nour Sayed"/>
    <x v="1"/>
    <s v="Sales Executive"/>
    <x v="1"/>
    <n v="26"/>
    <x v="2"/>
    <x v="7"/>
    <x v="3"/>
    <x v="0"/>
    <x v="2"/>
    <n v="1034"/>
    <x v="7"/>
    <n v="18"/>
    <n v="8040"/>
    <x v="1"/>
    <n v="4.3600000000000003"/>
    <x v="2"/>
    <x v="2"/>
    <n v="3"/>
    <n v="27"/>
    <n v="37"/>
    <n v="917"/>
    <n v="25"/>
  </r>
  <r>
    <n v="34"/>
    <s v="Nour Sayed"/>
    <x v="0"/>
    <s v="Coordinator"/>
    <x v="1"/>
    <n v="26"/>
    <x v="2"/>
    <x v="8"/>
    <x v="1"/>
    <x v="1"/>
    <x v="1"/>
    <n v="682"/>
    <x v="8"/>
    <n v="7"/>
    <n v="14748"/>
    <x v="0"/>
    <n v="4.22"/>
    <x v="2"/>
    <x v="1"/>
    <n v="4"/>
    <n v="11"/>
    <n v="33"/>
    <n v="1051"/>
    <n v="32"/>
  </r>
  <r>
    <n v="52"/>
    <s v="Nour Sayed"/>
    <x v="4"/>
    <s v="Accountant"/>
    <x v="1"/>
    <n v="26"/>
    <x v="2"/>
    <x v="9"/>
    <x v="4"/>
    <x v="0"/>
    <x v="3"/>
    <n v="156"/>
    <x v="9"/>
    <n v="7"/>
    <n v="6444"/>
    <x v="1"/>
    <n v="4.53"/>
    <x v="1"/>
    <x v="3"/>
    <n v="1"/>
    <n v="7"/>
    <n v="35"/>
    <n v="1665"/>
    <n v="48"/>
  </r>
  <r>
    <n v="8"/>
    <s v="Omar Fathy"/>
    <x v="4"/>
    <s v="Financial Analyst"/>
    <x v="0"/>
    <n v="46"/>
    <x v="0"/>
    <x v="10"/>
    <x v="1"/>
    <x v="1"/>
    <x v="4"/>
    <n v="2135"/>
    <x v="10"/>
    <n v="13"/>
    <n v="4771"/>
    <x v="2"/>
    <n v="4.6500000000000004"/>
    <x v="1"/>
    <x v="4"/>
    <n v="2"/>
    <n v="38"/>
    <n v="4"/>
    <n v="888"/>
    <n v="222"/>
  </r>
  <r>
    <n v="9"/>
    <s v="Fatma Youssef"/>
    <x v="5"/>
    <s v="Marketing Specialist"/>
    <x v="1"/>
    <n v="43"/>
    <x v="0"/>
    <x v="11"/>
    <x v="1"/>
    <x v="1"/>
    <x v="1"/>
    <n v="597"/>
    <x v="0"/>
    <n v="9"/>
    <n v="12797"/>
    <x v="0"/>
    <n v="4.38"/>
    <x v="2"/>
    <x v="3"/>
    <n v="1"/>
    <n v="27"/>
    <n v="10"/>
    <n v="1029"/>
    <n v="103"/>
  </r>
  <r>
    <n v="10"/>
    <s v="Youssef Fathy"/>
    <x v="3"/>
    <s v="Data Analyst"/>
    <x v="0"/>
    <n v="48"/>
    <x v="0"/>
    <x v="12"/>
    <x v="1"/>
    <x v="1"/>
    <x v="4"/>
    <n v="1957"/>
    <x v="11"/>
    <n v="11"/>
    <n v="14468"/>
    <x v="0"/>
    <n v="3.77"/>
    <x v="2"/>
    <x v="4"/>
    <n v="2"/>
    <n v="48"/>
    <n v="10"/>
    <n v="1204"/>
    <n v="120"/>
  </r>
  <r>
    <n v="11"/>
    <s v="Dina Hassan"/>
    <x v="1"/>
    <s v="Sales Executive"/>
    <x v="1"/>
    <n v="50"/>
    <x v="0"/>
    <x v="13"/>
    <x v="1"/>
    <x v="1"/>
    <x v="5"/>
    <n v="3042"/>
    <x v="12"/>
    <n v="2"/>
    <n v="9038"/>
    <x v="1"/>
    <n v="3.1"/>
    <x v="0"/>
    <x v="4"/>
    <n v="5"/>
    <n v="5"/>
    <n v="31"/>
    <n v="1771"/>
    <n v="57"/>
  </r>
  <r>
    <n v="39"/>
    <s v="Dina Hassan"/>
    <x v="2"/>
    <s v="Recruiter"/>
    <x v="1"/>
    <n v="43"/>
    <x v="0"/>
    <x v="14"/>
    <x v="1"/>
    <x v="1"/>
    <x v="3"/>
    <n v="1028"/>
    <x v="7"/>
    <n v="19"/>
    <n v="10624"/>
    <x v="0"/>
    <n v="4.3099999999999996"/>
    <x v="2"/>
    <x v="0"/>
    <n v="2"/>
    <n v="34"/>
    <n v="1"/>
    <n v="1957"/>
    <n v="1957"/>
  </r>
  <r>
    <n v="76"/>
    <s v="Dina Hassan"/>
    <x v="0"/>
    <s v="Coordinator"/>
    <x v="1"/>
    <n v="42"/>
    <x v="0"/>
    <x v="15"/>
    <x v="5"/>
    <x v="0"/>
    <x v="6"/>
    <n v="488"/>
    <x v="13"/>
    <n v="20"/>
    <n v="5035"/>
    <x v="2"/>
    <n v="4.09"/>
    <x v="2"/>
    <x v="0"/>
    <n v="3"/>
    <n v="26"/>
    <n v="7"/>
    <n v="386"/>
    <n v="55"/>
  </r>
  <r>
    <n v="12"/>
    <s v="Omar Sayed"/>
    <x v="3"/>
    <s v="Software Engineer"/>
    <x v="0"/>
    <n v="38"/>
    <x v="1"/>
    <x v="16"/>
    <x v="1"/>
    <x v="1"/>
    <x v="3"/>
    <n v="859"/>
    <x v="14"/>
    <n v="6"/>
    <n v="13938"/>
    <x v="0"/>
    <n v="3.56"/>
    <x v="2"/>
    <x v="4"/>
    <n v="5"/>
    <n v="45"/>
    <n v="19"/>
    <n v="917"/>
    <n v="48"/>
  </r>
  <r>
    <n v="13"/>
    <s v="Fatma Sayed"/>
    <x v="0"/>
    <s v="Operations Analyst"/>
    <x v="1"/>
    <n v="29"/>
    <x v="2"/>
    <x v="17"/>
    <x v="1"/>
    <x v="1"/>
    <x v="6"/>
    <n v="1510"/>
    <x v="15"/>
    <n v="7"/>
    <n v="5049"/>
    <x v="2"/>
    <n v="3.35"/>
    <x v="0"/>
    <x v="2"/>
    <n v="5"/>
    <n v="37"/>
    <n v="14"/>
    <n v="114"/>
    <n v="8"/>
  </r>
  <r>
    <n v="14"/>
    <s v="Sara Mahmoud"/>
    <x v="3"/>
    <s v="Software Engineer"/>
    <x v="1"/>
    <n v="43"/>
    <x v="0"/>
    <x v="18"/>
    <x v="6"/>
    <x v="0"/>
    <x v="5"/>
    <n v="76"/>
    <x v="16"/>
    <n v="18"/>
    <n v="11953"/>
    <x v="0"/>
    <n v="3.04"/>
    <x v="0"/>
    <x v="4"/>
    <n v="5"/>
    <n v="30"/>
    <n v="15"/>
    <n v="1706"/>
    <n v="114"/>
  </r>
  <r>
    <n v="60"/>
    <s v="Sara Mahmoud"/>
    <x v="5"/>
    <s v="Content Creator"/>
    <x v="1"/>
    <n v="43"/>
    <x v="0"/>
    <x v="19"/>
    <x v="1"/>
    <x v="1"/>
    <x v="5"/>
    <n v="2670"/>
    <x v="17"/>
    <n v="16"/>
    <n v="12889"/>
    <x v="0"/>
    <n v="3.65"/>
    <x v="2"/>
    <x v="1"/>
    <n v="2"/>
    <n v="23"/>
    <n v="39"/>
    <n v="1649"/>
    <n v="42"/>
  </r>
  <r>
    <n v="66"/>
    <s v="Sara Mahmoud"/>
    <x v="2"/>
    <s v="Recruiter"/>
    <x v="1"/>
    <n v="38"/>
    <x v="1"/>
    <x v="20"/>
    <x v="1"/>
    <x v="1"/>
    <x v="3"/>
    <n v="969"/>
    <x v="18"/>
    <n v="20"/>
    <n v="11486"/>
    <x v="0"/>
    <n v="2.54"/>
    <x v="0"/>
    <x v="4"/>
    <n v="4"/>
    <n v="9"/>
    <n v="4"/>
    <n v="1061"/>
    <n v="265"/>
  </r>
  <r>
    <n v="101"/>
    <s v="Sara Mahmoud"/>
    <x v="4"/>
    <s v="Financial Analyst"/>
    <x v="1"/>
    <n v="39"/>
    <x v="1"/>
    <x v="21"/>
    <x v="1"/>
    <x v="1"/>
    <x v="1"/>
    <n v="588"/>
    <x v="0"/>
    <n v="10"/>
    <n v="10333"/>
    <x v="0"/>
    <n v="3.21"/>
    <x v="0"/>
    <x v="2"/>
    <n v="2"/>
    <n v="5"/>
    <n v="37"/>
    <n v="1459"/>
    <n v="39"/>
  </r>
  <r>
    <n v="15"/>
    <s v="Aya Khaled"/>
    <x v="5"/>
    <s v="Content Creator"/>
    <x v="1"/>
    <n v="36"/>
    <x v="1"/>
    <x v="22"/>
    <x v="7"/>
    <x v="0"/>
    <x v="6"/>
    <n v="216"/>
    <x v="19"/>
    <n v="12"/>
    <n v="4887"/>
    <x v="2"/>
    <n v="4.18"/>
    <x v="2"/>
    <x v="1"/>
    <n v="1"/>
    <n v="46"/>
    <n v="21"/>
    <n v="1739"/>
    <n v="83"/>
  </r>
  <r>
    <n v="29"/>
    <s v="Aya Khaled"/>
    <x v="1"/>
    <s v="Account Manager"/>
    <x v="1"/>
    <n v="41"/>
    <x v="0"/>
    <x v="23"/>
    <x v="8"/>
    <x v="0"/>
    <x v="4"/>
    <n v="1243"/>
    <x v="20"/>
    <n v="8"/>
    <n v="12379"/>
    <x v="0"/>
    <n v="2.79"/>
    <x v="0"/>
    <x v="2"/>
    <n v="2"/>
    <n v="2"/>
    <n v="27"/>
    <n v="103"/>
    <n v="4"/>
  </r>
  <r>
    <n v="59"/>
    <s v="Aya Khaled"/>
    <x v="5"/>
    <s v="Content Creator"/>
    <x v="1"/>
    <n v="49"/>
    <x v="0"/>
    <x v="24"/>
    <x v="1"/>
    <x v="1"/>
    <x v="0"/>
    <n v="2661"/>
    <x v="17"/>
    <n v="12"/>
    <n v="6634"/>
    <x v="1"/>
    <n v="3.32"/>
    <x v="0"/>
    <x v="0"/>
    <n v="3"/>
    <n v="52"/>
    <n v="35"/>
    <n v="175"/>
    <n v="5"/>
  </r>
  <r>
    <n v="16"/>
    <s v="Heba Ali"/>
    <x v="3"/>
    <s v="BI Developer"/>
    <x v="1"/>
    <n v="30"/>
    <x v="1"/>
    <x v="25"/>
    <x v="9"/>
    <x v="0"/>
    <x v="4"/>
    <n v="1111"/>
    <x v="21"/>
    <n v="17"/>
    <n v="11579"/>
    <x v="0"/>
    <n v="3.12"/>
    <x v="0"/>
    <x v="1"/>
    <n v="4"/>
    <n v="6"/>
    <n v="3"/>
    <n v="1435"/>
    <n v="478"/>
  </r>
  <r>
    <n v="35"/>
    <s v="Heba Ali"/>
    <x v="3"/>
    <s v="BI Developer"/>
    <x v="1"/>
    <n v="46"/>
    <x v="0"/>
    <x v="26"/>
    <x v="1"/>
    <x v="1"/>
    <x v="1"/>
    <n v="746"/>
    <x v="22"/>
    <n v="17"/>
    <n v="11251"/>
    <x v="0"/>
    <n v="4.03"/>
    <x v="2"/>
    <x v="2"/>
    <n v="4"/>
    <n v="28"/>
    <n v="10"/>
    <n v="1623"/>
    <n v="162"/>
  </r>
  <r>
    <n v="45"/>
    <s v="Heba Ali"/>
    <x v="5"/>
    <s v="Content Creator"/>
    <x v="1"/>
    <n v="45"/>
    <x v="0"/>
    <x v="27"/>
    <x v="1"/>
    <x v="1"/>
    <x v="3"/>
    <n v="1022"/>
    <x v="7"/>
    <n v="17"/>
    <n v="12548"/>
    <x v="0"/>
    <n v="4.91"/>
    <x v="1"/>
    <x v="3"/>
    <n v="5"/>
    <n v="49"/>
    <n v="30"/>
    <n v="1052"/>
    <n v="35"/>
  </r>
  <r>
    <n v="17"/>
    <s v="Amr Ali"/>
    <x v="1"/>
    <s v="Account Manager"/>
    <x v="0"/>
    <n v="37"/>
    <x v="1"/>
    <x v="28"/>
    <x v="1"/>
    <x v="1"/>
    <x v="5"/>
    <n v="2974"/>
    <x v="23"/>
    <n v="12"/>
    <n v="7502"/>
    <x v="1"/>
    <n v="4.66"/>
    <x v="1"/>
    <x v="1"/>
    <n v="2"/>
    <n v="0"/>
    <n v="24"/>
    <n v="643"/>
    <n v="27"/>
  </r>
  <r>
    <n v="18"/>
    <s v="Salma Sayed"/>
    <x v="5"/>
    <s v="Marketing Specialist"/>
    <x v="1"/>
    <n v="31"/>
    <x v="1"/>
    <x v="29"/>
    <x v="1"/>
    <x v="1"/>
    <x v="2"/>
    <n v="1877"/>
    <x v="24"/>
    <n v="1"/>
    <n v="7566"/>
    <x v="1"/>
    <n v="4.92"/>
    <x v="1"/>
    <x v="2"/>
    <n v="5"/>
    <n v="47"/>
    <n v="20"/>
    <n v="217"/>
    <n v="11"/>
  </r>
  <r>
    <n v="19"/>
    <s v="Fatma Ali"/>
    <x v="3"/>
    <s v="Data Analyst"/>
    <x v="1"/>
    <n v="49"/>
    <x v="0"/>
    <x v="30"/>
    <x v="1"/>
    <x v="1"/>
    <x v="1"/>
    <n v="642"/>
    <x v="25"/>
    <n v="12"/>
    <n v="7044"/>
    <x v="1"/>
    <n v="2.67"/>
    <x v="0"/>
    <x v="1"/>
    <n v="2"/>
    <n v="7"/>
    <n v="36"/>
    <n v="604"/>
    <n v="17"/>
  </r>
  <r>
    <n v="20"/>
    <s v="Aya Nabil"/>
    <x v="1"/>
    <s v="Account Manager"/>
    <x v="1"/>
    <n v="28"/>
    <x v="2"/>
    <x v="31"/>
    <x v="1"/>
    <x v="1"/>
    <x v="1"/>
    <n v="599"/>
    <x v="0"/>
    <n v="12"/>
    <n v="14972"/>
    <x v="0"/>
    <n v="4.29"/>
    <x v="2"/>
    <x v="4"/>
    <n v="3"/>
    <n v="8"/>
    <n v="19"/>
    <n v="1036"/>
    <n v="55"/>
  </r>
  <r>
    <n v="26"/>
    <s v="Aya Nabil"/>
    <x v="3"/>
    <s v="Software Engineer"/>
    <x v="1"/>
    <n v="49"/>
    <x v="0"/>
    <x v="32"/>
    <x v="1"/>
    <x v="1"/>
    <x v="2"/>
    <n v="1598"/>
    <x v="26"/>
    <n v="0"/>
    <n v="6662"/>
    <x v="1"/>
    <n v="4.9400000000000004"/>
    <x v="1"/>
    <x v="4"/>
    <n v="4"/>
    <n v="11"/>
    <n v="21"/>
    <n v="1702"/>
    <n v="81"/>
  </r>
  <r>
    <n v="21"/>
    <s v="Rania Mahmoud"/>
    <x v="4"/>
    <s v="Accountant"/>
    <x v="1"/>
    <n v="38"/>
    <x v="1"/>
    <x v="33"/>
    <x v="10"/>
    <x v="0"/>
    <x v="5"/>
    <n v="1295"/>
    <x v="27"/>
    <n v="7"/>
    <n v="8345"/>
    <x v="1"/>
    <n v="2.83"/>
    <x v="0"/>
    <x v="3"/>
    <n v="1"/>
    <n v="23"/>
    <n v="18"/>
    <n v="423"/>
    <n v="24"/>
  </r>
  <r>
    <n v="22"/>
    <s v="Hala Fathy"/>
    <x v="5"/>
    <s v="Marketing Specialist"/>
    <x v="1"/>
    <n v="43"/>
    <x v="0"/>
    <x v="34"/>
    <x v="1"/>
    <x v="1"/>
    <x v="1"/>
    <n v="818"/>
    <x v="2"/>
    <n v="3"/>
    <n v="5697"/>
    <x v="2"/>
    <n v="4.8499999999999996"/>
    <x v="1"/>
    <x v="4"/>
    <n v="3"/>
    <n v="56"/>
    <n v="6"/>
    <n v="1620"/>
    <n v="270"/>
  </r>
  <r>
    <n v="63"/>
    <s v="Hala Fathy"/>
    <x v="1"/>
    <s v="Sales Executive"/>
    <x v="1"/>
    <n v="30"/>
    <x v="1"/>
    <x v="35"/>
    <x v="1"/>
    <x v="1"/>
    <x v="0"/>
    <n v="2454"/>
    <x v="28"/>
    <n v="0"/>
    <n v="10798"/>
    <x v="0"/>
    <n v="3.35"/>
    <x v="0"/>
    <x v="2"/>
    <n v="3"/>
    <n v="18"/>
    <n v="19"/>
    <n v="1815"/>
    <n v="96"/>
  </r>
  <r>
    <n v="23"/>
    <s v="Hala Ibrahim"/>
    <x v="1"/>
    <s v="Account Manager"/>
    <x v="1"/>
    <n v="43"/>
    <x v="0"/>
    <x v="36"/>
    <x v="1"/>
    <x v="1"/>
    <x v="0"/>
    <n v="2402"/>
    <x v="29"/>
    <n v="8"/>
    <n v="14391"/>
    <x v="0"/>
    <n v="4.63"/>
    <x v="1"/>
    <x v="2"/>
    <n v="4"/>
    <n v="57"/>
    <n v="3"/>
    <n v="289"/>
    <n v="96"/>
  </r>
  <r>
    <n v="53"/>
    <s v="Hala Ibrahim"/>
    <x v="5"/>
    <s v="Content Creator"/>
    <x v="1"/>
    <n v="36"/>
    <x v="1"/>
    <x v="37"/>
    <x v="1"/>
    <x v="1"/>
    <x v="1"/>
    <n v="545"/>
    <x v="30"/>
    <n v="18"/>
    <n v="8871"/>
    <x v="1"/>
    <n v="4.6500000000000004"/>
    <x v="1"/>
    <x v="0"/>
    <n v="3"/>
    <n v="39"/>
    <n v="3"/>
    <n v="1348"/>
    <n v="449"/>
  </r>
  <r>
    <n v="24"/>
    <s v="Mohamed Hassan"/>
    <x v="0"/>
    <s v="Coordinator"/>
    <x v="0"/>
    <n v="42"/>
    <x v="0"/>
    <x v="38"/>
    <x v="1"/>
    <x v="1"/>
    <x v="6"/>
    <n v="1299"/>
    <x v="27"/>
    <n v="13"/>
    <n v="8291"/>
    <x v="1"/>
    <n v="2.9"/>
    <x v="0"/>
    <x v="0"/>
    <n v="5"/>
    <n v="35"/>
    <n v="0"/>
    <n v="329"/>
    <m/>
  </r>
  <r>
    <n v="92"/>
    <s v="Mohamed Hassan"/>
    <x v="2"/>
    <s v="HR Specialist"/>
    <x v="0"/>
    <n v="28"/>
    <x v="2"/>
    <x v="39"/>
    <x v="1"/>
    <x v="1"/>
    <x v="6"/>
    <n v="1425"/>
    <x v="31"/>
    <n v="3"/>
    <n v="6248"/>
    <x v="1"/>
    <n v="4.41"/>
    <x v="2"/>
    <x v="3"/>
    <n v="3"/>
    <n v="0"/>
    <n v="31"/>
    <n v="1629"/>
    <n v="53"/>
  </r>
  <r>
    <n v="27"/>
    <s v="Mostafa Mostafa"/>
    <x v="5"/>
    <s v="Marketing Specialist"/>
    <x v="0"/>
    <n v="29"/>
    <x v="2"/>
    <x v="40"/>
    <x v="1"/>
    <x v="1"/>
    <x v="4"/>
    <n v="2021"/>
    <x v="32"/>
    <n v="9"/>
    <n v="7269"/>
    <x v="1"/>
    <n v="4.54"/>
    <x v="1"/>
    <x v="0"/>
    <n v="3"/>
    <n v="52"/>
    <n v="14"/>
    <n v="556"/>
    <n v="40"/>
  </r>
  <r>
    <n v="28"/>
    <s v="Hassan Mahmoud"/>
    <x v="3"/>
    <s v="DBA"/>
    <x v="0"/>
    <n v="42"/>
    <x v="0"/>
    <x v="41"/>
    <x v="1"/>
    <x v="1"/>
    <x v="4"/>
    <n v="2255"/>
    <x v="33"/>
    <n v="0"/>
    <n v="12346"/>
    <x v="0"/>
    <n v="3.5"/>
    <x v="0"/>
    <x v="2"/>
    <n v="3"/>
    <n v="7"/>
    <n v="16"/>
    <n v="465"/>
    <n v="29"/>
  </r>
  <r>
    <n v="30"/>
    <s v="Karim Khaled"/>
    <x v="1"/>
    <s v="Account Manager"/>
    <x v="0"/>
    <n v="43"/>
    <x v="0"/>
    <x v="42"/>
    <x v="1"/>
    <x v="1"/>
    <x v="1"/>
    <n v="825"/>
    <x v="34"/>
    <n v="16"/>
    <n v="9409"/>
    <x v="1"/>
    <n v="4.0599999999999996"/>
    <x v="2"/>
    <x v="1"/>
    <n v="3"/>
    <n v="19"/>
    <n v="26"/>
    <n v="768"/>
    <n v="30"/>
  </r>
  <r>
    <n v="31"/>
    <s v="Karim Mostafa"/>
    <x v="5"/>
    <s v="Content Creator"/>
    <x v="0"/>
    <n v="41"/>
    <x v="0"/>
    <x v="43"/>
    <x v="1"/>
    <x v="1"/>
    <x v="2"/>
    <n v="1826"/>
    <x v="35"/>
    <n v="9"/>
    <n v="13324"/>
    <x v="0"/>
    <n v="3.25"/>
    <x v="0"/>
    <x v="2"/>
    <n v="1"/>
    <n v="18"/>
    <n v="13"/>
    <n v="980"/>
    <n v="75"/>
  </r>
  <r>
    <n v="32"/>
    <s v="Heba Sayed"/>
    <x v="1"/>
    <s v="Account Manager"/>
    <x v="1"/>
    <n v="38"/>
    <x v="1"/>
    <x v="44"/>
    <x v="1"/>
    <x v="1"/>
    <x v="1"/>
    <n v="553"/>
    <x v="30"/>
    <n v="9"/>
    <n v="11752"/>
    <x v="0"/>
    <n v="4.4800000000000004"/>
    <x v="2"/>
    <x v="4"/>
    <n v="1"/>
    <n v="32"/>
    <n v="40"/>
    <n v="1368"/>
    <n v="34"/>
  </r>
  <r>
    <n v="33"/>
    <s v="Amr Youssef"/>
    <x v="4"/>
    <s v="Accountant"/>
    <x v="0"/>
    <n v="26"/>
    <x v="2"/>
    <x v="45"/>
    <x v="1"/>
    <x v="1"/>
    <x v="0"/>
    <n v="2662"/>
    <x v="17"/>
    <n v="2"/>
    <n v="4400"/>
    <x v="2"/>
    <n v="2.62"/>
    <x v="0"/>
    <x v="0"/>
    <n v="5"/>
    <n v="29"/>
    <n v="26"/>
    <n v="1914"/>
    <n v="74"/>
  </r>
  <r>
    <n v="36"/>
    <s v="Amr Youssef"/>
    <x v="5"/>
    <s v="Content Creator"/>
    <x v="0"/>
    <n v="30"/>
    <x v="1"/>
    <x v="46"/>
    <x v="1"/>
    <x v="1"/>
    <x v="3"/>
    <n v="1195"/>
    <x v="36"/>
    <n v="8"/>
    <n v="11206"/>
    <x v="0"/>
    <n v="2.69"/>
    <x v="0"/>
    <x v="3"/>
    <n v="2"/>
    <n v="21"/>
    <n v="20"/>
    <n v="1928"/>
    <n v="96"/>
  </r>
  <r>
    <n v="55"/>
    <s v="Amr Youssef"/>
    <x v="1"/>
    <s v="Account Manager"/>
    <x v="0"/>
    <n v="24"/>
    <x v="2"/>
    <x v="47"/>
    <x v="1"/>
    <x v="1"/>
    <x v="3"/>
    <n v="1109"/>
    <x v="21"/>
    <n v="13"/>
    <n v="7824"/>
    <x v="1"/>
    <n v="4.8099999999999996"/>
    <x v="1"/>
    <x v="2"/>
    <n v="2"/>
    <n v="7"/>
    <n v="34"/>
    <n v="560"/>
    <n v="16"/>
  </r>
  <r>
    <n v="37"/>
    <s v="Nour Ali"/>
    <x v="1"/>
    <s v="Sales Executive"/>
    <x v="0"/>
    <n v="35"/>
    <x v="1"/>
    <x v="48"/>
    <x v="11"/>
    <x v="0"/>
    <x v="5"/>
    <n v="502"/>
    <x v="3"/>
    <n v="1"/>
    <n v="10678"/>
    <x v="0"/>
    <n v="3.33"/>
    <x v="0"/>
    <x v="0"/>
    <n v="4"/>
    <n v="13"/>
    <n v="26"/>
    <n v="897"/>
    <n v="34"/>
  </r>
  <r>
    <n v="102"/>
    <s v="Nour Ali"/>
    <x v="2"/>
    <s v="HR Manager"/>
    <x v="0"/>
    <n v="31"/>
    <x v="1"/>
    <x v="49"/>
    <x v="1"/>
    <x v="1"/>
    <x v="2"/>
    <n v="1598"/>
    <x v="26"/>
    <n v="16"/>
    <n v="13157"/>
    <x v="0"/>
    <n v="3.44"/>
    <x v="0"/>
    <x v="3"/>
    <n v="2"/>
    <n v="5"/>
    <n v="27"/>
    <n v="1141"/>
    <n v="42"/>
  </r>
  <r>
    <n v="38"/>
    <s v="Rania Mostafa"/>
    <x v="1"/>
    <s v="Account Manager"/>
    <x v="1"/>
    <n v="33"/>
    <x v="1"/>
    <x v="50"/>
    <x v="1"/>
    <x v="1"/>
    <x v="5"/>
    <n v="2949"/>
    <x v="37"/>
    <n v="17"/>
    <n v="8892"/>
    <x v="1"/>
    <n v="4.38"/>
    <x v="2"/>
    <x v="0"/>
    <n v="5"/>
    <n v="51"/>
    <n v="38"/>
    <n v="1938"/>
    <n v="51"/>
  </r>
  <r>
    <n v="89"/>
    <s v="Rania Mostafa"/>
    <x v="4"/>
    <s v="Accountant"/>
    <x v="1"/>
    <n v="45"/>
    <x v="0"/>
    <x v="51"/>
    <x v="12"/>
    <x v="0"/>
    <x v="2"/>
    <n v="317"/>
    <x v="38"/>
    <n v="6"/>
    <n v="14373"/>
    <x v="0"/>
    <n v="4.93"/>
    <x v="1"/>
    <x v="1"/>
    <n v="5"/>
    <n v="24"/>
    <n v="26"/>
    <n v="1029"/>
    <n v="40"/>
  </r>
  <r>
    <n v="40"/>
    <s v="Ahmed Mahmoud"/>
    <x v="5"/>
    <s v="Content Creator"/>
    <x v="0"/>
    <n v="49"/>
    <x v="0"/>
    <x v="52"/>
    <x v="1"/>
    <x v="1"/>
    <x v="1"/>
    <n v="612"/>
    <x v="0"/>
    <n v="10"/>
    <n v="11564"/>
    <x v="0"/>
    <n v="2.95"/>
    <x v="0"/>
    <x v="3"/>
    <n v="4"/>
    <n v="13"/>
    <n v="29"/>
    <n v="769"/>
    <n v="27"/>
  </r>
  <r>
    <n v="41"/>
    <s v="Aya Youssef"/>
    <x v="4"/>
    <s v="Accountant"/>
    <x v="1"/>
    <n v="22"/>
    <x v="2"/>
    <x v="53"/>
    <x v="1"/>
    <x v="1"/>
    <x v="6"/>
    <n v="1474"/>
    <x v="39"/>
    <n v="20"/>
    <n v="12837"/>
    <x v="0"/>
    <n v="2.63"/>
    <x v="0"/>
    <x v="3"/>
    <n v="2"/>
    <n v="4"/>
    <n v="2"/>
    <n v="1644"/>
    <n v="822"/>
  </r>
  <r>
    <n v="42"/>
    <s v="Hala Ali"/>
    <x v="3"/>
    <s v="Software Engineer"/>
    <x v="1"/>
    <n v="37"/>
    <x v="1"/>
    <x v="54"/>
    <x v="13"/>
    <x v="0"/>
    <x v="4"/>
    <n v="63"/>
    <x v="40"/>
    <n v="8"/>
    <n v="14968"/>
    <x v="0"/>
    <n v="2.79"/>
    <x v="0"/>
    <x v="4"/>
    <n v="4"/>
    <n v="49"/>
    <n v="23"/>
    <n v="443"/>
    <n v="19"/>
  </r>
  <r>
    <n v="104"/>
    <s v="Hala Ali"/>
    <x v="1"/>
    <s v="Account Manager"/>
    <x v="1"/>
    <n v="27"/>
    <x v="2"/>
    <x v="55"/>
    <x v="1"/>
    <x v="1"/>
    <x v="3"/>
    <n v="876"/>
    <x v="14"/>
    <n v="14"/>
    <n v="6962"/>
    <x v="1"/>
    <n v="4.58"/>
    <x v="1"/>
    <x v="2"/>
    <n v="2"/>
    <n v="2"/>
    <n v="26"/>
    <n v="846"/>
    <n v="33"/>
  </r>
  <r>
    <n v="43"/>
    <s v="Mostafa Ali"/>
    <x v="1"/>
    <s v="Account Manager"/>
    <x v="0"/>
    <n v="40"/>
    <x v="1"/>
    <x v="56"/>
    <x v="1"/>
    <x v="1"/>
    <x v="1"/>
    <n v="547"/>
    <x v="30"/>
    <n v="12"/>
    <n v="4420"/>
    <x v="2"/>
    <n v="4.82"/>
    <x v="1"/>
    <x v="2"/>
    <n v="4"/>
    <n v="60"/>
    <n v="12"/>
    <n v="255"/>
    <n v="21"/>
  </r>
  <r>
    <n v="44"/>
    <s v="Hala Mahmoud"/>
    <x v="1"/>
    <s v="Sales Executive"/>
    <x v="1"/>
    <n v="39"/>
    <x v="1"/>
    <x v="57"/>
    <x v="14"/>
    <x v="0"/>
    <x v="4"/>
    <n v="627"/>
    <x v="25"/>
    <n v="20"/>
    <n v="11018"/>
    <x v="0"/>
    <n v="4.1500000000000004"/>
    <x v="2"/>
    <x v="1"/>
    <n v="5"/>
    <n v="21"/>
    <n v="0"/>
    <n v="1839"/>
    <m/>
  </r>
  <r>
    <n v="46"/>
    <s v="Amr Mahmoud"/>
    <x v="5"/>
    <s v="Content Creator"/>
    <x v="0"/>
    <n v="29"/>
    <x v="2"/>
    <x v="58"/>
    <x v="1"/>
    <x v="1"/>
    <x v="1"/>
    <n v="620"/>
    <x v="25"/>
    <n v="0"/>
    <n v="11613"/>
    <x v="0"/>
    <n v="3.92"/>
    <x v="2"/>
    <x v="0"/>
    <n v="3"/>
    <n v="31"/>
    <n v="20"/>
    <n v="472"/>
    <n v="24"/>
  </r>
  <r>
    <n v="47"/>
    <s v="Hassan Khaled"/>
    <x v="5"/>
    <s v="Content Creator"/>
    <x v="0"/>
    <n v="39"/>
    <x v="1"/>
    <x v="59"/>
    <x v="1"/>
    <x v="1"/>
    <x v="4"/>
    <n v="2171"/>
    <x v="41"/>
    <n v="7"/>
    <n v="4166"/>
    <x v="2"/>
    <n v="3.79"/>
    <x v="2"/>
    <x v="4"/>
    <n v="1"/>
    <n v="46"/>
    <n v="26"/>
    <n v="1100"/>
    <n v="42"/>
  </r>
  <r>
    <n v="48"/>
    <s v="Dina Sayed"/>
    <x v="1"/>
    <s v="Sales Executive"/>
    <x v="1"/>
    <n v="31"/>
    <x v="1"/>
    <x v="60"/>
    <x v="1"/>
    <x v="1"/>
    <x v="4"/>
    <n v="2044"/>
    <x v="42"/>
    <n v="18"/>
    <n v="7630"/>
    <x v="1"/>
    <n v="3.51"/>
    <x v="2"/>
    <x v="4"/>
    <n v="3"/>
    <n v="23"/>
    <n v="30"/>
    <n v="1233"/>
    <n v="41"/>
  </r>
  <r>
    <n v="82"/>
    <s v="Dina Sayed"/>
    <x v="5"/>
    <s v="Content Creator"/>
    <x v="1"/>
    <n v="36"/>
    <x v="1"/>
    <x v="61"/>
    <x v="15"/>
    <x v="0"/>
    <x v="3"/>
    <n v="144"/>
    <x v="9"/>
    <n v="16"/>
    <n v="12254"/>
    <x v="0"/>
    <n v="3.05"/>
    <x v="0"/>
    <x v="2"/>
    <n v="1"/>
    <n v="19"/>
    <n v="29"/>
    <n v="1417"/>
    <n v="49"/>
  </r>
  <r>
    <n v="49"/>
    <s v="Salma Khaled"/>
    <x v="1"/>
    <s v="Account Manager"/>
    <x v="1"/>
    <n v="30"/>
    <x v="1"/>
    <x v="62"/>
    <x v="1"/>
    <x v="1"/>
    <x v="2"/>
    <n v="1628"/>
    <x v="43"/>
    <n v="10"/>
    <n v="9023"/>
    <x v="1"/>
    <n v="3.13"/>
    <x v="0"/>
    <x v="1"/>
    <n v="2"/>
    <n v="7"/>
    <n v="34"/>
    <n v="1660"/>
    <n v="49"/>
  </r>
  <r>
    <n v="74"/>
    <s v="Salma Khaled"/>
    <x v="0"/>
    <s v="Coordinator"/>
    <x v="1"/>
    <n v="30"/>
    <x v="1"/>
    <x v="63"/>
    <x v="16"/>
    <x v="0"/>
    <x v="6"/>
    <n v="297"/>
    <x v="44"/>
    <n v="3"/>
    <n v="11894"/>
    <x v="0"/>
    <n v="4.92"/>
    <x v="1"/>
    <x v="3"/>
    <n v="3"/>
    <n v="29"/>
    <n v="4"/>
    <n v="388"/>
    <n v="97"/>
  </r>
  <r>
    <n v="75"/>
    <s v="Salma Khaled"/>
    <x v="2"/>
    <s v="HR Specialist"/>
    <x v="1"/>
    <n v="22"/>
    <x v="2"/>
    <x v="64"/>
    <x v="1"/>
    <x v="1"/>
    <x v="6"/>
    <n v="1411"/>
    <x v="45"/>
    <n v="8"/>
    <n v="8332"/>
    <x v="1"/>
    <n v="3.84"/>
    <x v="2"/>
    <x v="0"/>
    <n v="3"/>
    <n v="37"/>
    <n v="24"/>
    <n v="1784"/>
    <n v="74"/>
  </r>
  <r>
    <n v="84"/>
    <s v="Salma Khaled"/>
    <x v="4"/>
    <s v="Financial Analyst"/>
    <x v="1"/>
    <n v="36"/>
    <x v="1"/>
    <x v="65"/>
    <x v="1"/>
    <x v="1"/>
    <x v="7"/>
    <n v="469"/>
    <x v="13"/>
    <n v="20"/>
    <n v="12282"/>
    <x v="0"/>
    <n v="4.01"/>
    <x v="2"/>
    <x v="1"/>
    <n v="1"/>
    <n v="41"/>
    <n v="35"/>
    <n v="1576"/>
    <n v="45"/>
  </r>
  <r>
    <n v="50"/>
    <s v="Hassan Nabil"/>
    <x v="0"/>
    <s v="Coordinator"/>
    <x v="0"/>
    <n v="48"/>
    <x v="0"/>
    <x v="66"/>
    <x v="17"/>
    <x v="0"/>
    <x v="4"/>
    <n v="1012"/>
    <x v="7"/>
    <n v="9"/>
    <n v="7180"/>
    <x v="1"/>
    <n v="3.24"/>
    <x v="0"/>
    <x v="3"/>
    <n v="2"/>
    <n v="0"/>
    <n v="34"/>
    <n v="359"/>
    <n v="11"/>
  </r>
  <r>
    <n v="51"/>
    <s v="Salma Youssef"/>
    <x v="4"/>
    <s v="Accountant"/>
    <x v="1"/>
    <n v="25"/>
    <x v="2"/>
    <x v="67"/>
    <x v="1"/>
    <x v="1"/>
    <x v="5"/>
    <n v="2846"/>
    <x v="46"/>
    <n v="14"/>
    <n v="4200"/>
    <x v="2"/>
    <n v="3.94"/>
    <x v="2"/>
    <x v="0"/>
    <n v="4"/>
    <n v="21"/>
    <n v="11"/>
    <n v="205"/>
    <n v="19"/>
  </r>
  <r>
    <n v="54"/>
    <s v="Karim Ibrahim"/>
    <x v="0"/>
    <s v="Coordinator"/>
    <x v="0"/>
    <n v="27"/>
    <x v="2"/>
    <x v="68"/>
    <x v="1"/>
    <x v="1"/>
    <x v="0"/>
    <n v="2640"/>
    <x v="47"/>
    <n v="0"/>
    <n v="7929"/>
    <x v="1"/>
    <n v="2.93"/>
    <x v="0"/>
    <x v="1"/>
    <n v="2"/>
    <n v="26"/>
    <n v="28"/>
    <n v="1511"/>
    <n v="54"/>
  </r>
  <r>
    <n v="56"/>
    <s v="Omar Mahmoud"/>
    <x v="0"/>
    <s v="Operations Analyst"/>
    <x v="0"/>
    <n v="47"/>
    <x v="0"/>
    <x v="4"/>
    <x v="1"/>
    <x v="1"/>
    <x v="0"/>
    <n v="2422"/>
    <x v="4"/>
    <n v="14"/>
    <n v="9039"/>
    <x v="1"/>
    <n v="3.99"/>
    <x v="2"/>
    <x v="2"/>
    <n v="3"/>
    <n v="7"/>
    <n v="29"/>
    <n v="1510"/>
    <n v="52"/>
  </r>
  <r>
    <n v="73"/>
    <s v="Omar Mahmoud"/>
    <x v="0"/>
    <s v="Operations Analyst"/>
    <x v="0"/>
    <n v="47"/>
    <x v="0"/>
    <x v="69"/>
    <x v="1"/>
    <x v="1"/>
    <x v="4"/>
    <n v="2266"/>
    <x v="48"/>
    <n v="2"/>
    <n v="11222"/>
    <x v="0"/>
    <n v="2.58"/>
    <x v="0"/>
    <x v="3"/>
    <n v="2"/>
    <n v="58"/>
    <n v="18"/>
    <n v="769"/>
    <n v="43"/>
  </r>
  <r>
    <n v="57"/>
    <s v="Fatma Fathy"/>
    <x v="4"/>
    <s v="Financial Analyst"/>
    <x v="1"/>
    <n v="24"/>
    <x v="2"/>
    <x v="70"/>
    <x v="1"/>
    <x v="1"/>
    <x v="6"/>
    <n v="1379"/>
    <x v="49"/>
    <n v="19"/>
    <n v="13798"/>
    <x v="0"/>
    <n v="2.6"/>
    <x v="0"/>
    <x v="0"/>
    <n v="3"/>
    <n v="16"/>
    <n v="1"/>
    <n v="287"/>
    <n v="287"/>
  </r>
  <r>
    <n v="106"/>
    <s v="Fatma Fathy"/>
    <x v="5"/>
    <s v="Content Creator"/>
    <x v="1"/>
    <n v="48"/>
    <x v="0"/>
    <x v="71"/>
    <x v="1"/>
    <x v="1"/>
    <x v="2"/>
    <n v="1891"/>
    <x v="24"/>
    <n v="1"/>
    <n v="7271"/>
    <x v="1"/>
    <n v="4.5"/>
    <x v="1"/>
    <x v="4"/>
    <n v="3"/>
    <n v="41"/>
    <n v="30"/>
    <n v="1890"/>
    <n v="63"/>
  </r>
  <r>
    <n v="58"/>
    <s v="Ahmed Youssef"/>
    <x v="2"/>
    <s v="HR Manager"/>
    <x v="0"/>
    <n v="46"/>
    <x v="0"/>
    <x v="72"/>
    <x v="1"/>
    <x v="1"/>
    <x v="1"/>
    <n v="685"/>
    <x v="8"/>
    <n v="5"/>
    <n v="6870"/>
    <x v="1"/>
    <n v="3.68"/>
    <x v="2"/>
    <x v="0"/>
    <n v="3"/>
    <n v="37"/>
    <n v="27"/>
    <n v="1400"/>
    <n v="52"/>
  </r>
  <r>
    <n v="61"/>
    <s v="Karim Youssef"/>
    <x v="5"/>
    <s v="Marketing Specialist"/>
    <x v="0"/>
    <n v="36"/>
    <x v="1"/>
    <x v="73"/>
    <x v="1"/>
    <x v="1"/>
    <x v="6"/>
    <n v="1231"/>
    <x v="20"/>
    <n v="5"/>
    <n v="11941"/>
    <x v="0"/>
    <n v="2.8"/>
    <x v="0"/>
    <x v="2"/>
    <n v="2"/>
    <n v="19"/>
    <n v="35"/>
    <n v="128"/>
    <n v="4"/>
  </r>
  <r>
    <n v="62"/>
    <s v="Heba Mahmoud"/>
    <x v="1"/>
    <s v="Sales Executive"/>
    <x v="1"/>
    <n v="44"/>
    <x v="0"/>
    <x v="74"/>
    <x v="18"/>
    <x v="0"/>
    <x v="6"/>
    <n v="247"/>
    <x v="50"/>
    <n v="15"/>
    <n v="8781"/>
    <x v="1"/>
    <n v="3.77"/>
    <x v="2"/>
    <x v="3"/>
    <n v="4"/>
    <n v="30"/>
    <n v="15"/>
    <n v="1035"/>
    <n v="69"/>
  </r>
  <r>
    <n v="64"/>
    <s v="Dina Ali"/>
    <x v="1"/>
    <s v="Account Manager"/>
    <x v="1"/>
    <n v="33"/>
    <x v="1"/>
    <x v="75"/>
    <x v="1"/>
    <x v="1"/>
    <x v="1"/>
    <n v="657"/>
    <x v="51"/>
    <n v="14"/>
    <n v="9446"/>
    <x v="1"/>
    <n v="3.88"/>
    <x v="2"/>
    <x v="2"/>
    <n v="4"/>
    <n v="59"/>
    <n v="20"/>
    <n v="1880"/>
    <n v="94"/>
  </r>
  <r>
    <n v="65"/>
    <s v="Amr Mostafa"/>
    <x v="2"/>
    <s v="HR Specialist"/>
    <x v="0"/>
    <n v="45"/>
    <x v="0"/>
    <x v="76"/>
    <x v="1"/>
    <x v="1"/>
    <x v="4"/>
    <n v="2048"/>
    <x v="42"/>
    <n v="20"/>
    <n v="11749"/>
    <x v="0"/>
    <n v="4.26"/>
    <x v="2"/>
    <x v="0"/>
    <n v="4"/>
    <n v="9"/>
    <n v="31"/>
    <n v="175"/>
    <n v="6"/>
  </r>
  <r>
    <n v="85"/>
    <s v="Amr Mostafa"/>
    <x v="2"/>
    <s v="Recruiter"/>
    <x v="0"/>
    <n v="34"/>
    <x v="1"/>
    <x v="77"/>
    <x v="1"/>
    <x v="1"/>
    <x v="6"/>
    <n v="1275"/>
    <x v="52"/>
    <n v="10"/>
    <n v="10815"/>
    <x v="0"/>
    <n v="4.32"/>
    <x v="2"/>
    <x v="3"/>
    <n v="4"/>
    <n v="42"/>
    <n v="16"/>
    <n v="866"/>
    <n v="54"/>
  </r>
  <r>
    <n v="67"/>
    <s v="Nour Mahmoud"/>
    <x v="4"/>
    <s v="Financial Analyst"/>
    <x v="0"/>
    <n v="32"/>
    <x v="1"/>
    <x v="78"/>
    <x v="1"/>
    <x v="1"/>
    <x v="2"/>
    <n v="1659"/>
    <x v="53"/>
    <n v="1"/>
    <n v="14269"/>
    <x v="0"/>
    <n v="4.3"/>
    <x v="2"/>
    <x v="0"/>
    <n v="5"/>
    <n v="39"/>
    <n v="4"/>
    <n v="580"/>
    <n v="145"/>
  </r>
  <r>
    <n v="68"/>
    <s v="Mahmoud Mostafa"/>
    <x v="0"/>
    <s v="Operations Analyst"/>
    <x v="0"/>
    <n v="36"/>
    <x v="1"/>
    <x v="79"/>
    <x v="1"/>
    <x v="1"/>
    <x v="2"/>
    <n v="1859"/>
    <x v="54"/>
    <n v="10"/>
    <n v="6725"/>
    <x v="1"/>
    <n v="4.24"/>
    <x v="2"/>
    <x v="1"/>
    <n v="1"/>
    <n v="50"/>
    <n v="3"/>
    <n v="700"/>
    <n v="233"/>
  </r>
  <r>
    <n v="86"/>
    <s v="Mahmoud Mostafa"/>
    <x v="2"/>
    <s v="HR Specialist"/>
    <x v="0"/>
    <n v="47"/>
    <x v="0"/>
    <x v="80"/>
    <x v="9"/>
    <x v="0"/>
    <x v="3"/>
    <n v="187"/>
    <x v="55"/>
    <n v="17"/>
    <n v="6131"/>
    <x v="1"/>
    <n v="3.89"/>
    <x v="2"/>
    <x v="2"/>
    <n v="5"/>
    <n v="21"/>
    <n v="7"/>
    <n v="941"/>
    <n v="134"/>
  </r>
  <r>
    <n v="95"/>
    <s v="Mahmoud Mostafa"/>
    <x v="5"/>
    <s v="Content Creator"/>
    <x v="0"/>
    <n v="29"/>
    <x v="2"/>
    <x v="81"/>
    <x v="1"/>
    <x v="1"/>
    <x v="1"/>
    <n v="614"/>
    <x v="0"/>
    <n v="20"/>
    <n v="9456"/>
    <x v="1"/>
    <n v="4.45"/>
    <x v="2"/>
    <x v="1"/>
    <n v="5"/>
    <n v="7"/>
    <n v="33"/>
    <n v="1144"/>
    <n v="35"/>
  </r>
  <r>
    <n v="69"/>
    <s v="Amr Fathy"/>
    <x v="4"/>
    <s v="Financial Analyst"/>
    <x v="0"/>
    <n v="27"/>
    <x v="2"/>
    <x v="82"/>
    <x v="1"/>
    <x v="1"/>
    <x v="6"/>
    <n v="1504"/>
    <x v="15"/>
    <n v="7"/>
    <n v="6868"/>
    <x v="1"/>
    <n v="2.7"/>
    <x v="0"/>
    <x v="0"/>
    <n v="5"/>
    <n v="31"/>
    <n v="37"/>
    <n v="393"/>
    <n v="11"/>
  </r>
  <r>
    <n v="93"/>
    <s v="Amr Fathy"/>
    <x v="5"/>
    <s v="Content Creator"/>
    <x v="0"/>
    <n v="34"/>
    <x v="1"/>
    <x v="83"/>
    <x v="19"/>
    <x v="0"/>
    <x v="0"/>
    <n v="1110"/>
    <x v="21"/>
    <n v="10"/>
    <n v="4693"/>
    <x v="2"/>
    <n v="3.59"/>
    <x v="2"/>
    <x v="0"/>
    <n v="1"/>
    <n v="36"/>
    <n v="27"/>
    <n v="1274"/>
    <n v="47"/>
  </r>
  <r>
    <n v="70"/>
    <s v="Heba Youssef"/>
    <x v="2"/>
    <s v="HR Manager"/>
    <x v="1"/>
    <n v="50"/>
    <x v="0"/>
    <x v="84"/>
    <x v="1"/>
    <x v="1"/>
    <x v="3"/>
    <n v="1156"/>
    <x v="5"/>
    <n v="2"/>
    <n v="11622"/>
    <x v="0"/>
    <n v="4.75"/>
    <x v="1"/>
    <x v="2"/>
    <n v="2"/>
    <n v="28"/>
    <n v="22"/>
    <n v="1303"/>
    <n v="59"/>
  </r>
  <r>
    <n v="71"/>
    <s v="Heba Youssef"/>
    <x v="4"/>
    <s v="Accountant"/>
    <x v="1"/>
    <n v="49"/>
    <x v="0"/>
    <x v="85"/>
    <x v="1"/>
    <x v="1"/>
    <x v="6"/>
    <n v="1298"/>
    <x v="27"/>
    <n v="11"/>
    <n v="11916"/>
    <x v="0"/>
    <n v="2.77"/>
    <x v="0"/>
    <x v="0"/>
    <n v="5"/>
    <n v="36"/>
    <n v="18"/>
    <n v="1532"/>
    <n v="85"/>
  </r>
  <r>
    <n v="72"/>
    <s v="Nour Youssef"/>
    <x v="4"/>
    <s v="Accountant"/>
    <x v="1"/>
    <n v="41"/>
    <x v="0"/>
    <x v="86"/>
    <x v="1"/>
    <x v="1"/>
    <x v="5"/>
    <n v="2938"/>
    <x v="37"/>
    <n v="19"/>
    <n v="12138"/>
    <x v="0"/>
    <n v="4.58"/>
    <x v="1"/>
    <x v="3"/>
    <n v="2"/>
    <n v="51"/>
    <n v="22"/>
    <n v="548"/>
    <n v="25"/>
  </r>
  <r>
    <n v="77"/>
    <s v="Dina Mahmoud"/>
    <x v="3"/>
    <s v="Data Analyst"/>
    <x v="1"/>
    <n v="50"/>
    <x v="0"/>
    <x v="87"/>
    <x v="1"/>
    <x v="1"/>
    <x v="5"/>
    <n v="2877"/>
    <x v="56"/>
    <n v="17"/>
    <n v="12807"/>
    <x v="0"/>
    <n v="2.84"/>
    <x v="0"/>
    <x v="0"/>
    <n v="3"/>
    <n v="26"/>
    <n v="37"/>
    <n v="1620"/>
    <n v="44"/>
  </r>
  <r>
    <n v="78"/>
    <s v="Mostafa Sayed"/>
    <x v="0"/>
    <s v="Coordinator"/>
    <x v="0"/>
    <n v="23"/>
    <x v="2"/>
    <x v="88"/>
    <x v="1"/>
    <x v="1"/>
    <x v="0"/>
    <n v="2403"/>
    <x v="29"/>
    <n v="11"/>
    <n v="10070"/>
    <x v="0"/>
    <n v="3.04"/>
    <x v="0"/>
    <x v="0"/>
    <n v="2"/>
    <n v="6"/>
    <n v="23"/>
    <n v="1215"/>
    <n v="53"/>
  </r>
  <r>
    <n v="79"/>
    <s v="Karim Mahmoud"/>
    <x v="0"/>
    <s v="Coordinator"/>
    <x v="0"/>
    <n v="43"/>
    <x v="0"/>
    <x v="89"/>
    <x v="20"/>
    <x v="0"/>
    <x v="6"/>
    <n v="594"/>
    <x v="0"/>
    <n v="1"/>
    <n v="7475"/>
    <x v="1"/>
    <n v="4.0999999999999996"/>
    <x v="2"/>
    <x v="2"/>
    <n v="1"/>
    <n v="50"/>
    <n v="21"/>
    <n v="598"/>
    <n v="28"/>
  </r>
  <r>
    <n v="80"/>
    <s v="Karim Nabil"/>
    <x v="2"/>
    <s v="HR Specialist"/>
    <x v="0"/>
    <n v="32"/>
    <x v="1"/>
    <x v="90"/>
    <x v="1"/>
    <x v="1"/>
    <x v="1"/>
    <n v="726"/>
    <x v="57"/>
    <n v="8"/>
    <n v="6417"/>
    <x v="1"/>
    <n v="4.47"/>
    <x v="2"/>
    <x v="2"/>
    <n v="1"/>
    <n v="54"/>
    <n v="9"/>
    <n v="366"/>
    <n v="41"/>
  </r>
  <r>
    <n v="81"/>
    <s v="Mostafa Hassan"/>
    <x v="1"/>
    <s v="Sales Executive"/>
    <x v="0"/>
    <n v="33"/>
    <x v="1"/>
    <x v="91"/>
    <x v="1"/>
    <x v="1"/>
    <x v="4"/>
    <n v="2012"/>
    <x v="32"/>
    <n v="8"/>
    <n v="7898"/>
    <x v="1"/>
    <n v="3.97"/>
    <x v="2"/>
    <x v="1"/>
    <n v="2"/>
    <n v="3"/>
    <n v="8"/>
    <n v="1619"/>
    <n v="202"/>
  </r>
  <r>
    <n v="83"/>
    <s v="Nour Mostafa"/>
    <x v="3"/>
    <s v="Data Analyst"/>
    <x v="1"/>
    <n v="44"/>
    <x v="0"/>
    <x v="92"/>
    <x v="1"/>
    <x v="1"/>
    <x v="5"/>
    <n v="2778"/>
    <x v="58"/>
    <n v="19"/>
    <n v="11267"/>
    <x v="0"/>
    <n v="2.68"/>
    <x v="0"/>
    <x v="1"/>
    <n v="3"/>
    <n v="9"/>
    <n v="4"/>
    <n v="358"/>
    <n v="90"/>
  </r>
  <r>
    <n v="87"/>
    <s v="Mohamed Youssef"/>
    <x v="4"/>
    <s v="Financial Analyst"/>
    <x v="0"/>
    <n v="25"/>
    <x v="2"/>
    <x v="93"/>
    <x v="1"/>
    <x v="1"/>
    <x v="6"/>
    <n v="1307"/>
    <x v="59"/>
    <n v="7"/>
    <n v="13468"/>
    <x v="0"/>
    <n v="3.77"/>
    <x v="2"/>
    <x v="4"/>
    <n v="4"/>
    <n v="54"/>
    <n v="6"/>
    <n v="817"/>
    <n v="136"/>
  </r>
  <r>
    <n v="88"/>
    <s v="Rania Ibrahim"/>
    <x v="1"/>
    <s v="Account Manager"/>
    <x v="1"/>
    <n v="41"/>
    <x v="0"/>
    <x v="94"/>
    <x v="21"/>
    <x v="0"/>
    <x v="6"/>
    <n v="595"/>
    <x v="0"/>
    <n v="5"/>
    <n v="14777"/>
    <x v="0"/>
    <n v="4.57"/>
    <x v="1"/>
    <x v="3"/>
    <n v="1"/>
    <n v="17"/>
    <n v="19"/>
    <n v="1987"/>
    <n v="105"/>
  </r>
  <r>
    <n v="90"/>
    <s v="Sara Nabil"/>
    <x v="4"/>
    <s v="Accountant"/>
    <x v="1"/>
    <n v="26"/>
    <x v="2"/>
    <x v="95"/>
    <x v="1"/>
    <x v="1"/>
    <x v="0"/>
    <n v="2394"/>
    <x v="29"/>
    <n v="8"/>
    <n v="6579"/>
    <x v="1"/>
    <n v="4.3899999999999997"/>
    <x v="2"/>
    <x v="1"/>
    <n v="1"/>
    <n v="28"/>
    <n v="27"/>
    <n v="1094"/>
    <n v="41"/>
  </r>
  <r>
    <n v="91"/>
    <s v="Karim Fathy"/>
    <x v="1"/>
    <s v="Sales Executive"/>
    <x v="0"/>
    <n v="35"/>
    <x v="1"/>
    <x v="73"/>
    <x v="1"/>
    <x v="1"/>
    <x v="6"/>
    <n v="1220"/>
    <x v="20"/>
    <n v="16"/>
    <n v="5816"/>
    <x v="2"/>
    <n v="3.21"/>
    <x v="0"/>
    <x v="2"/>
    <n v="4"/>
    <n v="42"/>
    <n v="19"/>
    <n v="193"/>
    <n v="10"/>
  </r>
  <r>
    <n v="94"/>
    <s v="Nour Hassan"/>
    <x v="5"/>
    <s v="Content Creator"/>
    <x v="0"/>
    <n v="47"/>
    <x v="0"/>
    <x v="96"/>
    <x v="1"/>
    <x v="1"/>
    <x v="6"/>
    <n v="1323"/>
    <x v="59"/>
    <n v="13"/>
    <n v="14127"/>
    <x v="0"/>
    <n v="3.65"/>
    <x v="2"/>
    <x v="3"/>
    <n v="1"/>
    <n v="54"/>
    <n v="6"/>
    <n v="598"/>
    <n v="100"/>
  </r>
  <r>
    <n v="96"/>
    <s v="Omar Ibrahim"/>
    <x v="2"/>
    <s v="HR Specialist"/>
    <x v="0"/>
    <n v="30"/>
    <x v="1"/>
    <x v="97"/>
    <x v="1"/>
    <x v="1"/>
    <x v="2"/>
    <n v="1610"/>
    <x v="43"/>
    <n v="5"/>
    <n v="7232"/>
    <x v="1"/>
    <n v="2.93"/>
    <x v="0"/>
    <x v="4"/>
    <n v="1"/>
    <n v="60"/>
    <n v="40"/>
    <n v="1111"/>
    <n v="28"/>
  </r>
  <r>
    <n v="97"/>
    <s v="Heba Nabil"/>
    <x v="5"/>
    <s v="Content Creator"/>
    <x v="1"/>
    <n v="26"/>
    <x v="2"/>
    <x v="98"/>
    <x v="1"/>
    <x v="1"/>
    <x v="1"/>
    <n v="729"/>
    <x v="57"/>
    <n v="8"/>
    <n v="11205"/>
    <x v="0"/>
    <n v="2.67"/>
    <x v="0"/>
    <x v="0"/>
    <n v="3"/>
    <n v="37"/>
    <n v="3"/>
    <n v="820"/>
    <n v="273"/>
  </r>
  <r>
    <n v="98"/>
    <s v="Heba Hassan"/>
    <x v="1"/>
    <s v="Sales Executive"/>
    <x v="1"/>
    <n v="48"/>
    <x v="0"/>
    <x v="99"/>
    <x v="1"/>
    <x v="1"/>
    <x v="5"/>
    <n v="2724"/>
    <x v="60"/>
    <n v="19"/>
    <n v="8703"/>
    <x v="1"/>
    <n v="2.69"/>
    <x v="0"/>
    <x v="1"/>
    <n v="5"/>
    <n v="32"/>
    <n v="24"/>
    <n v="1047"/>
    <n v="44"/>
  </r>
  <r>
    <n v="99"/>
    <s v="Mohamed Sayed"/>
    <x v="1"/>
    <s v="Sales Executive"/>
    <x v="0"/>
    <n v="41"/>
    <x v="0"/>
    <x v="100"/>
    <x v="1"/>
    <x v="1"/>
    <x v="1"/>
    <n v="773"/>
    <x v="61"/>
    <n v="3"/>
    <n v="11792"/>
    <x v="0"/>
    <n v="3.75"/>
    <x v="2"/>
    <x v="1"/>
    <n v="4"/>
    <n v="51"/>
    <n v="21"/>
    <n v="1562"/>
    <n v="74"/>
  </r>
  <r>
    <n v="100"/>
    <s v="Mohamed Ibrahim"/>
    <x v="3"/>
    <s v="BI Developer"/>
    <x v="0"/>
    <n v="38"/>
    <x v="1"/>
    <x v="101"/>
    <x v="1"/>
    <x v="1"/>
    <x v="3"/>
    <n v="971"/>
    <x v="18"/>
    <n v="9"/>
    <n v="12564"/>
    <x v="0"/>
    <n v="4.0199999999999996"/>
    <x v="2"/>
    <x v="3"/>
    <n v="3"/>
    <n v="24"/>
    <n v="26"/>
    <n v="1686"/>
    <n v="65"/>
  </r>
  <r>
    <n v="103"/>
    <s v="Youssef Ibrahim"/>
    <x v="4"/>
    <s v="Financial Analyst"/>
    <x v="0"/>
    <n v="28"/>
    <x v="2"/>
    <x v="102"/>
    <x v="1"/>
    <x v="1"/>
    <x v="5"/>
    <n v="2963"/>
    <x v="23"/>
    <n v="9"/>
    <n v="7711"/>
    <x v="1"/>
    <n v="5"/>
    <x v="1"/>
    <x v="4"/>
    <n v="1"/>
    <n v="54"/>
    <n v="6"/>
    <n v="1139"/>
    <n v="190"/>
  </r>
  <r>
    <n v="105"/>
    <s v="Hala Youssef"/>
    <x v="0"/>
    <s v="Coordinator"/>
    <x v="1"/>
    <n v="39"/>
    <x v="1"/>
    <x v="103"/>
    <x v="1"/>
    <x v="1"/>
    <x v="4"/>
    <n v="2063"/>
    <x v="62"/>
    <n v="11"/>
    <n v="7918"/>
    <x v="1"/>
    <n v="3.27"/>
    <x v="0"/>
    <x v="0"/>
    <n v="2"/>
    <n v="43"/>
    <n v="36"/>
    <n v="1002"/>
    <n v="28"/>
  </r>
  <r>
    <n v="107"/>
    <s v="Fatma Mahmoud"/>
    <x v="4"/>
    <s v="Financial Analyst"/>
    <x v="1"/>
    <n v="46"/>
    <x v="0"/>
    <x v="104"/>
    <x v="1"/>
    <x v="1"/>
    <x v="1"/>
    <n v="762"/>
    <x v="22"/>
    <n v="13"/>
    <n v="6626"/>
    <x v="1"/>
    <n v="3.18"/>
    <x v="0"/>
    <x v="2"/>
    <n v="2"/>
    <n v="5"/>
    <n v="14"/>
    <n v="1772"/>
    <n v="127"/>
  </r>
  <r>
    <n v="108"/>
    <s v="Aya Hassan"/>
    <x v="5"/>
    <s v="Content Creator"/>
    <x v="1"/>
    <n v="29"/>
    <x v="2"/>
    <x v="97"/>
    <x v="1"/>
    <x v="1"/>
    <x v="2"/>
    <n v="1615"/>
    <x v="43"/>
    <n v="0"/>
    <n v="10326"/>
    <x v="0"/>
    <n v="4.99"/>
    <x v="1"/>
    <x v="3"/>
    <n v="2"/>
    <n v="20"/>
    <n v="6"/>
    <n v="1818"/>
    <n v="303"/>
  </r>
  <r>
    <n v="109"/>
    <s v="Omar Hassan"/>
    <x v="0"/>
    <s v="Coordinator"/>
    <x v="0"/>
    <n v="44"/>
    <x v="0"/>
    <x v="105"/>
    <x v="1"/>
    <x v="1"/>
    <x v="2"/>
    <n v="1654"/>
    <x v="53"/>
    <n v="19"/>
    <n v="6273"/>
    <x v="1"/>
    <n v="4.4000000000000004"/>
    <x v="2"/>
    <x v="0"/>
    <n v="4"/>
    <n v="0"/>
    <n v="5"/>
    <n v="138"/>
    <n v="28"/>
  </r>
  <r>
    <n v="110"/>
    <s v="Salma Nabil"/>
    <x v="4"/>
    <s v="Financial Analyst"/>
    <x v="1"/>
    <n v="46"/>
    <x v="0"/>
    <x v="106"/>
    <x v="1"/>
    <x v="1"/>
    <x v="4"/>
    <n v="2156"/>
    <x v="41"/>
    <n v="7"/>
    <n v="8720"/>
    <x v="1"/>
    <n v="3.09"/>
    <x v="0"/>
    <x v="1"/>
    <n v="1"/>
    <n v="26"/>
    <n v="40"/>
    <n v="1725"/>
    <n v="43"/>
  </r>
  <r>
    <n v="170"/>
    <s v="Amr Ibrahim"/>
    <x v="3"/>
    <s v="BI Developer"/>
    <x v="0"/>
    <n v="23"/>
    <x v="2"/>
    <x v="107"/>
    <x v="1"/>
    <x v="1"/>
    <x v="3"/>
    <n v="865"/>
    <x v="14"/>
    <n v="18"/>
    <n v="5218"/>
    <x v="2"/>
    <n v="4.21"/>
    <x v="2"/>
    <x v="3"/>
    <n v="5"/>
    <n v="42"/>
    <n v="2"/>
    <n v="467"/>
    <n v="234"/>
  </r>
  <r>
    <n v="111"/>
    <s v="Hala Fathy"/>
    <x v="1"/>
    <s v="Sales Executive"/>
    <x v="1"/>
    <n v="44"/>
    <x v="0"/>
    <x v="108"/>
    <x v="1"/>
    <x v="1"/>
    <x v="3"/>
    <n v="1163"/>
    <x v="5"/>
    <n v="11"/>
    <n v="6352"/>
    <x v="1"/>
    <n v="3.23"/>
    <x v="0"/>
    <x v="1"/>
    <n v="5"/>
    <n v="15"/>
    <n v="36"/>
    <n v="953"/>
    <n v="26"/>
  </r>
  <r>
    <n v="198"/>
    <s v="Salma Mostafa"/>
    <x v="5"/>
    <s v="Marketing Specialist"/>
    <x v="1"/>
    <n v="48"/>
    <x v="0"/>
    <x v="109"/>
    <x v="1"/>
    <x v="1"/>
    <x v="6"/>
    <n v="1569"/>
    <x v="63"/>
    <n v="10"/>
    <n v="7470"/>
    <x v="1"/>
    <n v="3.74"/>
    <x v="2"/>
    <x v="3"/>
    <n v="3"/>
    <n v="35"/>
    <n v="36"/>
    <n v="367"/>
    <n v="10"/>
  </r>
  <r>
    <n v="112"/>
    <s v="Mona Mahmoud"/>
    <x v="2"/>
    <s v="HR Manager"/>
    <x v="1"/>
    <n v="34"/>
    <x v="1"/>
    <x v="110"/>
    <x v="1"/>
    <x v="1"/>
    <x v="5"/>
    <n v="2688"/>
    <x v="64"/>
    <n v="8"/>
    <n v="11702"/>
    <x v="0"/>
    <n v="2.61"/>
    <x v="0"/>
    <x v="0"/>
    <n v="3"/>
    <n v="47"/>
    <n v="1"/>
    <n v="831"/>
    <n v="831"/>
  </r>
  <r>
    <n v="129"/>
    <s v="Mostafa Khaled"/>
    <x v="2"/>
    <s v="HR Specialist"/>
    <x v="0"/>
    <n v="25"/>
    <x v="2"/>
    <x v="111"/>
    <x v="1"/>
    <x v="1"/>
    <x v="6"/>
    <n v="1528"/>
    <x v="65"/>
    <n v="1"/>
    <n v="8382"/>
    <x v="1"/>
    <n v="3.62"/>
    <x v="2"/>
    <x v="4"/>
    <n v="1"/>
    <n v="18"/>
    <n v="24"/>
    <n v="1869"/>
    <n v="78"/>
  </r>
  <r>
    <n v="146"/>
    <s v="Mostafa Khaled"/>
    <x v="1"/>
    <s v="Sales Executive"/>
    <x v="0"/>
    <n v="42"/>
    <x v="0"/>
    <x v="112"/>
    <x v="1"/>
    <x v="1"/>
    <x v="3"/>
    <n v="1120"/>
    <x v="21"/>
    <n v="9"/>
    <n v="8215"/>
    <x v="1"/>
    <n v="4.3"/>
    <x v="2"/>
    <x v="1"/>
    <n v="3"/>
    <n v="36"/>
    <n v="12"/>
    <n v="459"/>
    <n v="38"/>
  </r>
  <r>
    <n v="113"/>
    <s v="Mostafa Nabil"/>
    <x v="3"/>
    <s v="DBA"/>
    <x v="0"/>
    <n v="23"/>
    <x v="2"/>
    <x v="113"/>
    <x v="1"/>
    <x v="1"/>
    <x v="2"/>
    <n v="1619"/>
    <x v="43"/>
    <n v="15"/>
    <n v="9772"/>
    <x v="1"/>
    <n v="3.87"/>
    <x v="2"/>
    <x v="4"/>
    <n v="4"/>
    <n v="40"/>
    <n v="11"/>
    <n v="1761"/>
    <n v="160"/>
  </r>
  <r>
    <n v="114"/>
    <s v="Heba Hassan"/>
    <x v="2"/>
    <s v="Recruiter"/>
    <x v="1"/>
    <n v="23"/>
    <x v="2"/>
    <x v="114"/>
    <x v="1"/>
    <x v="1"/>
    <x v="5"/>
    <n v="2772"/>
    <x v="66"/>
    <n v="16"/>
    <n v="7268"/>
    <x v="1"/>
    <n v="4.71"/>
    <x v="1"/>
    <x v="3"/>
    <n v="3"/>
    <n v="25"/>
    <n v="34"/>
    <n v="1069"/>
    <n v="31"/>
  </r>
  <r>
    <n v="115"/>
    <s v="Karim Youssef"/>
    <x v="4"/>
    <s v="Financial Analyst"/>
    <x v="0"/>
    <n v="49"/>
    <x v="0"/>
    <x v="115"/>
    <x v="1"/>
    <x v="1"/>
    <x v="5"/>
    <n v="2884"/>
    <x v="56"/>
    <n v="13"/>
    <n v="14743"/>
    <x v="0"/>
    <n v="3.33"/>
    <x v="0"/>
    <x v="1"/>
    <n v="3"/>
    <n v="56"/>
    <n v="25"/>
    <n v="1622"/>
    <n v="65"/>
  </r>
  <r>
    <n v="167"/>
    <s v="Hassan Fathy"/>
    <x v="1"/>
    <s v="Account Manager"/>
    <x v="0"/>
    <n v="38"/>
    <x v="1"/>
    <x v="116"/>
    <x v="1"/>
    <x v="1"/>
    <x v="6"/>
    <n v="1359"/>
    <x v="67"/>
    <n v="3"/>
    <n v="11054"/>
    <x v="0"/>
    <n v="4.5199999999999996"/>
    <x v="1"/>
    <x v="4"/>
    <n v="1"/>
    <n v="33"/>
    <n v="9"/>
    <n v="593"/>
    <n v="66"/>
  </r>
  <r>
    <n v="116"/>
    <s v="Youssef Sayed"/>
    <x v="5"/>
    <s v="Content Creator"/>
    <x v="0"/>
    <n v="47"/>
    <x v="0"/>
    <x v="117"/>
    <x v="1"/>
    <x v="1"/>
    <x v="6"/>
    <n v="1461"/>
    <x v="39"/>
    <n v="2"/>
    <n v="12507"/>
    <x v="0"/>
    <n v="3.17"/>
    <x v="0"/>
    <x v="1"/>
    <n v="4"/>
    <n v="27"/>
    <n v="38"/>
    <n v="1784"/>
    <n v="47"/>
  </r>
  <r>
    <n v="128"/>
    <s v="Youssef Sayed"/>
    <x v="5"/>
    <s v="Content Creator"/>
    <x v="0"/>
    <n v="36"/>
    <x v="1"/>
    <x v="118"/>
    <x v="1"/>
    <x v="1"/>
    <x v="5"/>
    <n v="2738"/>
    <x v="60"/>
    <n v="10"/>
    <n v="7342"/>
    <x v="1"/>
    <n v="3.35"/>
    <x v="0"/>
    <x v="4"/>
    <n v="3"/>
    <n v="46"/>
    <n v="22"/>
    <n v="916"/>
    <n v="42"/>
  </r>
  <r>
    <n v="117"/>
    <s v="Mostafa Mahmoud"/>
    <x v="2"/>
    <s v="Recruiter"/>
    <x v="0"/>
    <n v="31"/>
    <x v="1"/>
    <x v="119"/>
    <x v="1"/>
    <x v="1"/>
    <x v="1"/>
    <n v="798"/>
    <x v="2"/>
    <n v="14"/>
    <n v="11305"/>
    <x v="0"/>
    <n v="4.01"/>
    <x v="2"/>
    <x v="0"/>
    <n v="2"/>
    <n v="22"/>
    <n v="28"/>
    <n v="186"/>
    <n v="7"/>
  </r>
  <r>
    <n v="118"/>
    <s v="Aya Youssef"/>
    <x v="0"/>
    <s v="Operations Analyst"/>
    <x v="1"/>
    <n v="43"/>
    <x v="0"/>
    <x v="120"/>
    <x v="1"/>
    <x v="1"/>
    <x v="2"/>
    <n v="1602"/>
    <x v="26"/>
    <n v="0"/>
    <n v="14445"/>
    <x v="0"/>
    <n v="3.52"/>
    <x v="2"/>
    <x v="2"/>
    <n v="2"/>
    <n v="9"/>
    <n v="38"/>
    <n v="1488"/>
    <n v="39"/>
  </r>
  <r>
    <n v="119"/>
    <s v="Mona Khaled"/>
    <x v="5"/>
    <s v="Content Creator"/>
    <x v="1"/>
    <n v="41"/>
    <x v="0"/>
    <x v="121"/>
    <x v="22"/>
    <x v="0"/>
    <x v="5"/>
    <n v="499"/>
    <x v="3"/>
    <n v="14"/>
    <n v="6513"/>
    <x v="1"/>
    <n v="4.2"/>
    <x v="2"/>
    <x v="3"/>
    <n v="3"/>
    <n v="48"/>
    <n v="4"/>
    <n v="1275"/>
    <n v="319"/>
  </r>
  <r>
    <n v="120"/>
    <s v="Sara Youssef"/>
    <x v="2"/>
    <s v="HR Specialist"/>
    <x v="1"/>
    <n v="22"/>
    <x v="2"/>
    <x v="122"/>
    <x v="1"/>
    <x v="1"/>
    <x v="3"/>
    <n v="875"/>
    <x v="14"/>
    <n v="3"/>
    <n v="7048"/>
    <x v="1"/>
    <n v="3.75"/>
    <x v="2"/>
    <x v="0"/>
    <n v="5"/>
    <n v="16"/>
    <n v="16"/>
    <n v="1541"/>
    <n v="96"/>
  </r>
  <r>
    <n v="148"/>
    <s v="Sara Youssef"/>
    <x v="4"/>
    <s v="Accountant"/>
    <x v="1"/>
    <n v="42"/>
    <x v="0"/>
    <x v="123"/>
    <x v="23"/>
    <x v="0"/>
    <x v="6"/>
    <n v="562"/>
    <x v="1"/>
    <n v="14"/>
    <n v="9890"/>
    <x v="1"/>
    <n v="4.2300000000000004"/>
    <x v="2"/>
    <x v="1"/>
    <n v="1"/>
    <n v="19"/>
    <n v="10"/>
    <n v="930"/>
    <n v="93"/>
  </r>
  <r>
    <n v="121"/>
    <s v="Ibrahim Sayed"/>
    <x v="5"/>
    <s v="Marketing Specialist"/>
    <x v="0"/>
    <n v="26"/>
    <x v="2"/>
    <x v="124"/>
    <x v="1"/>
    <x v="1"/>
    <x v="4"/>
    <n v="2158"/>
    <x v="41"/>
    <n v="10"/>
    <n v="5213"/>
    <x v="2"/>
    <n v="3.63"/>
    <x v="2"/>
    <x v="0"/>
    <n v="1"/>
    <n v="42"/>
    <n v="22"/>
    <n v="1553"/>
    <n v="71"/>
  </r>
  <r>
    <n v="177"/>
    <s v="Ibrahim Sayed"/>
    <x v="2"/>
    <s v="HR Specialist"/>
    <x v="0"/>
    <n v="30"/>
    <x v="1"/>
    <x v="125"/>
    <x v="1"/>
    <x v="1"/>
    <x v="6"/>
    <n v="1247"/>
    <x v="52"/>
    <n v="19"/>
    <n v="8040"/>
    <x v="1"/>
    <n v="4.3"/>
    <x v="2"/>
    <x v="0"/>
    <n v="5"/>
    <n v="12"/>
    <n v="29"/>
    <n v="319"/>
    <n v="11"/>
  </r>
  <r>
    <n v="122"/>
    <s v="Ibrahim Ali"/>
    <x v="3"/>
    <s v="Software Engineer"/>
    <x v="0"/>
    <n v="38"/>
    <x v="1"/>
    <x v="126"/>
    <x v="1"/>
    <x v="1"/>
    <x v="1"/>
    <n v="787"/>
    <x v="61"/>
    <n v="7"/>
    <n v="7673"/>
    <x v="1"/>
    <n v="2.8"/>
    <x v="0"/>
    <x v="4"/>
    <n v="2"/>
    <n v="50"/>
    <n v="31"/>
    <n v="153"/>
    <n v="5"/>
  </r>
  <r>
    <n v="200"/>
    <s v="Ibrahim Ali"/>
    <x v="0"/>
    <s v="Coordinator"/>
    <x v="0"/>
    <n v="42"/>
    <x v="0"/>
    <x v="127"/>
    <x v="1"/>
    <x v="1"/>
    <x v="0"/>
    <n v="2505"/>
    <x v="68"/>
    <n v="1"/>
    <n v="9905"/>
    <x v="1"/>
    <n v="3.13"/>
    <x v="0"/>
    <x v="3"/>
    <n v="2"/>
    <n v="25"/>
    <n v="40"/>
    <n v="725"/>
    <n v="18"/>
  </r>
  <r>
    <n v="131"/>
    <s v="Fatma Sayed"/>
    <x v="3"/>
    <s v="Software Engineer"/>
    <x v="1"/>
    <n v="40"/>
    <x v="1"/>
    <x v="128"/>
    <x v="1"/>
    <x v="1"/>
    <x v="0"/>
    <n v="2659"/>
    <x v="17"/>
    <n v="19"/>
    <n v="9781"/>
    <x v="1"/>
    <n v="2.62"/>
    <x v="0"/>
    <x v="3"/>
    <n v="4"/>
    <n v="56"/>
    <n v="30"/>
    <n v="685"/>
    <n v="23"/>
  </r>
  <r>
    <n v="123"/>
    <s v="Heba Fathy"/>
    <x v="4"/>
    <s v="Accountant"/>
    <x v="1"/>
    <n v="24"/>
    <x v="2"/>
    <x v="129"/>
    <x v="1"/>
    <x v="1"/>
    <x v="1"/>
    <n v="764"/>
    <x v="22"/>
    <n v="13"/>
    <n v="9067"/>
    <x v="1"/>
    <n v="3.5"/>
    <x v="0"/>
    <x v="0"/>
    <n v="5"/>
    <n v="49"/>
    <n v="26"/>
    <n v="1786"/>
    <n v="69"/>
  </r>
  <r>
    <n v="133"/>
    <s v="Heba Fathy"/>
    <x v="1"/>
    <s v="Account Manager"/>
    <x v="1"/>
    <n v="26"/>
    <x v="2"/>
    <x v="130"/>
    <x v="24"/>
    <x v="0"/>
    <x v="2"/>
    <n v="1051"/>
    <x v="69"/>
    <n v="11"/>
    <n v="5584"/>
    <x v="2"/>
    <n v="3.48"/>
    <x v="0"/>
    <x v="3"/>
    <n v="5"/>
    <n v="48"/>
    <n v="9"/>
    <n v="507"/>
    <n v="56"/>
  </r>
  <r>
    <n v="139"/>
    <s v="Heba Fathy"/>
    <x v="5"/>
    <s v="Content Creator"/>
    <x v="1"/>
    <n v="43"/>
    <x v="0"/>
    <x v="131"/>
    <x v="1"/>
    <x v="1"/>
    <x v="2"/>
    <n v="1746"/>
    <x v="70"/>
    <n v="15"/>
    <n v="14539"/>
    <x v="0"/>
    <n v="4.51"/>
    <x v="1"/>
    <x v="3"/>
    <n v="5"/>
    <n v="12"/>
    <n v="15"/>
    <n v="671"/>
    <n v="45"/>
  </r>
  <r>
    <n v="155"/>
    <s v="Heba Fathy"/>
    <x v="3"/>
    <s v="BI Developer"/>
    <x v="1"/>
    <n v="48"/>
    <x v="0"/>
    <x v="132"/>
    <x v="1"/>
    <x v="1"/>
    <x v="5"/>
    <n v="2945"/>
    <x v="37"/>
    <n v="8"/>
    <n v="7762"/>
    <x v="1"/>
    <n v="3.12"/>
    <x v="0"/>
    <x v="3"/>
    <n v="2"/>
    <n v="12"/>
    <n v="7"/>
    <n v="165"/>
    <n v="24"/>
  </r>
  <r>
    <n v="160"/>
    <s v="Sara Mahmoud"/>
    <x v="2"/>
    <s v="Recruiter"/>
    <x v="1"/>
    <n v="24"/>
    <x v="2"/>
    <x v="133"/>
    <x v="25"/>
    <x v="0"/>
    <x v="6"/>
    <n v="438"/>
    <x v="71"/>
    <n v="8"/>
    <n v="12775"/>
    <x v="0"/>
    <n v="4.3099999999999996"/>
    <x v="2"/>
    <x v="4"/>
    <n v="1"/>
    <n v="24"/>
    <n v="38"/>
    <n v="1334"/>
    <n v="35"/>
  </r>
  <r>
    <n v="124"/>
    <s v="Mahmoud Sayed"/>
    <x v="1"/>
    <s v="Account Manager"/>
    <x v="0"/>
    <n v="26"/>
    <x v="2"/>
    <x v="134"/>
    <x v="26"/>
    <x v="0"/>
    <x v="5"/>
    <n v="666"/>
    <x v="51"/>
    <n v="13"/>
    <n v="13032"/>
    <x v="0"/>
    <n v="4.0999999999999996"/>
    <x v="2"/>
    <x v="4"/>
    <n v="2"/>
    <n v="32"/>
    <n v="3"/>
    <n v="1802"/>
    <n v="601"/>
  </r>
  <r>
    <n v="194"/>
    <s v="Mahmoud Sayed"/>
    <x v="4"/>
    <s v="Accountant"/>
    <x v="0"/>
    <n v="28"/>
    <x v="2"/>
    <x v="135"/>
    <x v="1"/>
    <x v="1"/>
    <x v="2"/>
    <n v="1614"/>
    <x v="43"/>
    <n v="5"/>
    <n v="13632"/>
    <x v="0"/>
    <n v="4.22"/>
    <x v="2"/>
    <x v="2"/>
    <n v="4"/>
    <n v="39"/>
    <n v="8"/>
    <n v="1707"/>
    <n v="213"/>
  </r>
  <r>
    <n v="125"/>
    <s v="Youssef Khaled"/>
    <x v="3"/>
    <s v="Software Engineer"/>
    <x v="0"/>
    <n v="38"/>
    <x v="1"/>
    <x v="136"/>
    <x v="27"/>
    <x v="0"/>
    <x v="3"/>
    <n v="347"/>
    <x v="72"/>
    <n v="20"/>
    <n v="8653"/>
    <x v="1"/>
    <n v="4.6100000000000003"/>
    <x v="1"/>
    <x v="3"/>
    <n v="2"/>
    <n v="35"/>
    <n v="17"/>
    <n v="356"/>
    <n v="21"/>
  </r>
  <r>
    <n v="126"/>
    <s v="Mahmoud Fathy"/>
    <x v="0"/>
    <s v="Operations Analyst"/>
    <x v="0"/>
    <n v="27"/>
    <x v="2"/>
    <x v="137"/>
    <x v="1"/>
    <x v="1"/>
    <x v="2"/>
    <n v="1788"/>
    <x v="73"/>
    <n v="18"/>
    <n v="14792"/>
    <x v="0"/>
    <n v="4.0599999999999996"/>
    <x v="2"/>
    <x v="2"/>
    <n v="3"/>
    <n v="2"/>
    <n v="1"/>
    <n v="266"/>
    <n v="266"/>
  </r>
  <r>
    <n v="153"/>
    <s v="Mahmoud Fathy"/>
    <x v="3"/>
    <s v="Data Analyst"/>
    <x v="0"/>
    <n v="37"/>
    <x v="1"/>
    <x v="138"/>
    <x v="1"/>
    <x v="1"/>
    <x v="5"/>
    <n v="2841"/>
    <x v="46"/>
    <n v="20"/>
    <n v="4519"/>
    <x v="2"/>
    <n v="3.22"/>
    <x v="0"/>
    <x v="4"/>
    <n v="2"/>
    <n v="46"/>
    <n v="26"/>
    <n v="866"/>
    <n v="33"/>
  </r>
  <r>
    <n v="172"/>
    <s v="Mahmoud Fathy"/>
    <x v="0"/>
    <s v="Coordinator"/>
    <x v="0"/>
    <n v="25"/>
    <x v="2"/>
    <x v="139"/>
    <x v="1"/>
    <x v="1"/>
    <x v="0"/>
    <n v="2454"/>
    <x v="28"/>
    <n v="19"/>
    <n v="11161"/>
    <x v="0"/>
    <n v="3.08"/>
    <x v="0"/>
    <x v="1"/>
    <n v="3"/>
    <n v="49"/>
    <n v="39"/>
    <n v="1319"/>
    <n v="34"/>
  </r>
  <r>
    <n v="127"/>
    <s v="Karim Nabil"/>
    <x v="3"/>
    <s v="BI Developer"/>
    <x v="0"/>
    <n v="37"/>
    <x v="1"/>
    <x v="140"/>
    <x v="1"/>
    <x v="1"/>
    <x v="1"/>
    <n v="677"/>
    <x v="8"/>
    <n v="7"/>
    <n v="14275"/>
    <x v="0"/>
    <n v="3.86"/>
    <x v="2"/>
    <x v="3"/>
    <n v="4"/>
    <n v="51"/>
    <n v="25"/>
    <n v="709"/>
    <n v="28"/>
  </r>
  <r>
    <n v="159"/>
    <s v="Salma Sayed"/>
    <x v="2"/>
    <s v="HR Specialist"/>
    <x v="1"/>
    <n v="31"/>
    <x v="1"/>
    <x v="141"/>
    <x v="1"/>
    <x v="1"/>
    <x v="2"/>
    <n v="1805"/>
    <x v="73"/>
    <n v="13"/>
    <n v="6365"/>
    <x v="1"/>
    <n v="4.51"/>
    <x v="1"/>
    <x v="1"/>
    <n v="5"/>
    <n v="26"/>
    <n v="35"/>
    <n v="1185"/>
    <n v="34"/>
  </r>
  <r>
    <n v="130"/>
    <s v="Sara Nabil"/>
    <x v="1"/>
    <s v="Account Manager"/>
    <x v="1"/>
    <n v="46"/>
    <x v="0"/>
    <x v="142"/>
    <x v="28"/>
    <x v="0"/>
    <x v="6"/>
    <n v="342"/>
    <x v="38"/>
    <n v="15"/>
    <n v="6610"/>
    <x v="1"/>
    <n v="3.75"/>
    <x v="2"/>
    <x v="2"/>
    <n v="4"/>
    <n v="56"/>
    <n v="19"/>
    <n v="1118"/>
    <n v="59"/>
  </r>
  <r>
    <n v="178"/>
    <s v="Sara Nabil"/>
    <x v="2"/>
    <s v="Recruiter"/>
    <x v="1"/>
    <n v="36"/>
    <x v="1"/>
    <x v="143"/>
    <x v="29"/>
    <x v="0"/>
    <x v="2"/>
    <n v="831"/>
    <x v="34"/>
    <n v="9"/>
    <n v="9484"/>
    <x v="1"/>
    <n v="3.58"/>
    <x v="2"/>
    <x v="2"/>
    <n v="2"/>
    <n v="20"/>
    <n v="38"/>
    <n v="1523"/>
    <n v="40"/>
  </r>
  <r>
    <n v="189"/>
    <s v="Rania Mahmoud"/>
    <x v="0"/>
    <s v="Operations Analyst"/>
    <x v="1"/>
    <n v="25"/>
    <x v="2"/>
    <x v="144"/>
    <x v="1"/>
    <x v="1"/>
    <x v="2"/>
    <n v="1824"/>
    <x v="35"/>
    <n v="4"/>
    <n v="7908"/>
    <x v="1"/>
    <n v="3.26"/>
    <x v="0"/>
    <x v="4"/>
    <n v="3"/>
    <n v="32"/>
    <n v="24"/>
    <n v="956"/>
    <n v="40"/>
  </r>
  <r>
    <n v="132"/>
    <s v="Aya Ali"/>
    <x v="1"/>
    <s v="Account Manager"/>
    <x v="1"/>
    <n v="46"/>
    <x v="0"/>
    <x v="145"/>
    <x v="1"/>
    <x v="1"/>
    <x v="5"/>
    <n v="2995"/>
    <x v="74"/>
    <n v="18"/>
    <n v="10606"/>
    <x v="0"/>
    <n v="3.41"/>
    <x v="0"/>
    <x v="0"/>
    <n v="1"/>
    <n v="35"/>
    <n v="12"/>
    <n v="842"/>
    <n v="70"/>
  </r>
  <r>
    <n v="190"/>
    <s v="Aya Ali"/>
    <x v="1"/>
    <s v="Account Manager"/>
    <x v="1"/>
    <n v="39"/>
    <x v="1"/>
    <x v="146"/>
    <x v="1"/>
    <x v="1"/>
    <x v="0"/>
    <n v="2472"/>
    <x v="28"/>
    <n v="10"/>
    <n v="6733"/>
    <x v="1"/>
    <n v="3.72"/>
    <x v="2"/>
    <x v="4"/>
    <n v="2"/>
    <n v="53"/>
    <n v="28"/>
    <n v="1368"/>
    <n v="49"/>
  </r>
  <r>
    <n v="134"/>
    <s v="Mohamed Hassan"/>
    <x v="1"/>
    <s v="Sales Executive"/>
    <x v="0"/>
    <n v="44"/>
    <x v="0"/>
    <x v="147"/>
    <x v="1"/>
    <x v="1"/>
    <x v="3"/>
    <n v="957"/>
    <x v="18"/>
    <n v="4"/>
    <n v="9456"/>
    <x v="1"/>
    <n v="4.51"/>
    <x v="1"/>
    <x v="2"/>
    <n v="4"/>
    <n v="38"/>
    <n v="32"/>
    <n v="386"/>
    <n v="12"/>
  </r>
  <r>
    <n v="199"/>
    <s v="Mohamed Hassan"/>
    <x v="1"/>
    <s v="Sales Executive"/>
    <x v="0"/>
    <n v="22"/>
    <x v="2"/>
    <x v="148"/>
    <x v="1"/>
    <x v="1"/>
    <x v="3"/>
    <n v="1045"/>
    <x v="69"/>
    <n v="14"/>
    <n v="6035"/>
    <x v="1"/>
    <n v="4.82"/>
    <x v="1"/>
    <x v="4"/>
    <n v="4"/>
    <n v="0"/>
    <n v="27"/>
    <n v="514"/>
    <n v="19"/>
  </r>
  <r>
    <n v="135"/>
    <s v="Nour Nabil"/>
    <x v="4"/>
    <s v="Financial Analyst"/>
    <x v="1"/>
    <n v="38"/>
    <x v="1"/>
    <x v="149"/>
    <x v="1"/>
    <x v="1"/>
    <x v="1"/>
    <n v="520"/>
    <x v="3"/>
    <n v="15"/>
    <n v="12351"/>
    <x v="0"/>
    <n v="3.83"/>
    <x v="2"/>
    <x v="2"/>
    <n v="3"/>
    <n v="52"/>
    <n v="1"/>
    <n v="854"/>
    <n v="854"/>
  </r>
  <r>
    <n v="164"/>
    <s v="Karim Khaled"/>
    <x v="1"/>
    <s v="Sales Executive"/>
    <x v="0"/>
    <n v="40"/>
    <x v="1"/>
    <x v="96"/>
    <x v="1"/>
    <x v="1"/>
    <x v="6"/>
    <n v="1321"/>
    <x v="59"/>
    <n v="15"/>
    <n v="8026"/>
    <x v="1"/>
    <n v="3.75"/>
    <x v="2"/>
    <x v="3"/>
    <n v="3"/>
    <n v="46"/>
    <n v="31"/>
    <n v="1043"/>
    <n v="34"/>
  </r>
  <r>
    <n v="162"/>
    <s v="Karim Mostafa"/>
    <x v="5"/>
    <s v="Marketing Specialist"/>
    <x v="0"/>
    <n v="46"/>
    <x v="0"/>
    <x v="150"/>
    <x v="1"/>
    <x v="1"/>
    <x v="4"/>
    <n v="2044"/>
    <x v="42"/>
    <n v="9"/>
    <n v="8637"/>
    <x v="1"/>
    <n v="3.45"/>
    <x v="0"/>
    <x v="2"/>
    <n v="3"/>
    <n v="16"/>
    <n v="23"/>
    <n v="1150"/>
    <n v="50"/>
  </r>
  <r>
    <n v="173"/>
    <s v="Heba Sayed"/>
    <x v="5"/>
    <s v="Marketing Specialist"/>
    <x v="1"/>
    <n v="39"/>
    <x v="1"/>
    <x v="151"/>
    <x v="30"/>
    <x v="0"/>
    <x v="2"/>
    <n v="587"/>
    <x v="0"/>
    <n v="2"/>
    <n v="10150"/>
    <x v="0"/>
    <n v="3.58"/>
    <x v="2"/>
    <x v="2"/>
    <n v="4"/>
    <n v="49"/>
    <n v="39"/>
    <n v="704"/>
    <n v="18"/>
  </r>
  <r>
    <n v="192"/>
    <s v="Amr Youssef"/>
    <x v="2"/>
    <s v="HR Specialist"/>
    <x v="0"/>
    <n v="29"/>
    <x v="2"/>
    <x v="152"/>
    <x v="1"/>
    <x v="1"/>
    <x v="5"/>
    <n v="2693"/>
    <x v="64"/>
    <n v="15"/>
    <n v="12808"/>
    <x v="0"/>
    <n v="3.22"/>
    <x v="0"/>
    <x v="0"/>
    <n v="5"/>
    <n v="35"/>
    <n v="32"/>
    <n v="331"/>
    <n v="10"/>
  </r>
  <r>
    <n v="174"/>
    <s v="Nour Ali"/>
    <x v="2"/>
    <s v="HR Manager"/>
    <x v="0"/>
    <n v="32"/>
    <x v="1"/>
    <x v="153"/>
    <x v="31"/>
    <x v="0"/>
    <x v="5"/>
    <n v="331"/>
    <x v="38"/>
    <n v="14"/>
    <n v="9909"/>
    <x v="1"/>
    <n v="2.77"/>
    <x v="0"/>
    <x v="1"/>
    <n v="3"/>
    <n v="23"/>
    <n v="17"/>
    <n v="309"/>
    <n v="18"/>
  </r>
  <r>
    <n v="143"/>
    <s v="Mostafa Ali"/>
    <x v="5"/>
    <s v="Marketing Specialist"/>
    <x v="0"/>
    <n v="35"/>
    <x v="1"/>
    <x v="154"/>
    <x v="1"/>
    <x v="1"/>
    <x v="2"/>
    <n v="1674"/>
    <x v="75"/>
    <n v="20"/>
    <n v="14696"/>
    <x v="0"/>
    <n v="4.84"/>
    <x v="1"/>
    <x v="0"/>
    <n v="4"/>
    <n v="12"/>
    <n v="18"/>
    <n v="757"/>
    <n v="42"/>
  </r>
  <r>
    <n v="145"/>
    <s v="Ahmed Youssef"/>
    <x v="0"/>
    <s v="Operations Analyst"/>
    <x v="0"/>
    <n v="31"/>
    <x v="1"/>
    <x v="155"/>
    <x v="1"/>
    <x v="1"/>
    <x v="2"/>
    <n v="1846"/>
    <x v="54"/>
    <n v="15"/>
    <n v="11444"/>
    <x v="0"/>
    <n v="4.97"/>
    <x v="1"/>
    <x v="2"/>
    <n v="5"/>
    <n v="56"/>
    <n v="8"/>
    <n v="1842"/>
    <n v="230"/>
  </r>
  <r>
    <n v="193"/>
    <s v="Salma Khaled"/>
    <x v="1"/>
    <s v="Sales Executive"/>
    <x v="1"/>
    <n v="39"/>
    <x v="1"/>
    <x v="156"/>
    <x v="1"/>
    <x v="1"/>
    <x v="0"/>
    <n v="2570"/>
    <x v="76"/>
    <n v="9"/>
    <n v="7580"/>
    <x v="1"/>
    <n v="4.97"/>
    <x v="1"/>
    <x v="1"/>
    <n v="2"/>
    <n v="55"/>
    <n v="2"/>
    <n v="1021"/>
    <n v="510"/>
  </r>
  <r>
    <n v="187"/>
    <s v="Karim Ibrahim"/>
    <x v="1"/>
    <s v="Account Manager"/>
    <x v="0"/>
    <n v="40"/>
    <x v="1"/>
    <x v="157"/>
    <x v="1"/>
    <x v="1"/>
    <x v="6"/>
    <n v="1276"/>
    <x v="27"/>
    <n v="11"/>
    <n v="5667"/>
    <x v="2"/>
    <n v="4.5"/>
    <x v="1"/>
    <x v="2"/>
    <n v="2"/>
    <n v="20"/>
    <n v="12"/>
    <n v="1037"/>
    <n v="86"/>
  </r>
  <r>
    <n v="154"/>
    <s v="Nour Mostafa"/>
    <x v="5"/>
    <s v="Marketing Specialist"/>
    <x v="1"/>
    <n v="42"/>
    <x v="0"/>
    <x v="158"/>
    <x v="1"/>
    <x v="1"/>
    <x v="3"/>
    <n v="1193"/>
    <x v="36"/>
    <n v="16"/>
    <n v="9697"/>
    <x v="1"/>
    <n v="2.8"/>
    <x v="0"/>
    <x v="2"/>
    <n v="4"/>
    <n v="8"/>
    <n v="14"/>
    <n v="1809"/>
    <n v="129"/>
  </r>
  <r>
    <n v="183"/>
    <s v="Fatma Fathy"/>
    <x v="3"/>
    <s v="Software Engineer"/>
    <x v="1"/>
    <n v="33"/>
    <x v="1"/>
    <x v="159"/>
    <x v="1"/>
    <x v="1"/>
    <x v="0"/>
    <n v="2639"/>
    <x v="47"/>
    <n v="4"/>
    <n v="10408"/>
    <x v="0"/>
    <n v="3.66"/>
    <x v="2"/>
    <x v="2"/>
    <n v="5"/>
    <n v="22"/>
    <n v="1"/>
    <n v="1088"/>
    <n v="1088"/>
  </r>
  <r>
    <n v="165"/>
    <s v="Dina Ali"/>
    <x v="2"/>
    <s v="HR Manager"/>
    <x v="1"/>
    <n v="38"/>
    <x v="1"/>
    <x v="160"/>
    <x v="1"/>
    <x v="1"/>
    <x v="2"/>
    <n v="1604"/>
    <x v="26"/>
    <n v="0"/>
    <n v="4554"/>
    <x v="2"/>
    <n v="4.5999999999999996"/>
    <x v="1"/>
    <x v="1"/>
    <n v="1"/>
    <n v="26"/>
    <n v="8"/>
    <n v="1825"/>
    <n v="228"/>
  </r>
  <r>
    <n v="191"/>
    <s v="Dina Ali"/>
    <x v="3"/>
    <s v="Software Engineer"/>
    <x v="1"/>
    <n v="39"/>
    <x v="1"/>
    <x v="161"/>
    <x v="1"/>
    <x v="1"/>
    <x v="6"/>
    <n v="1563"/>
    <x v="63"/>
    <n v="13"/>
    <n v="12281"/>
    <x v="0"/>
    <n v="4.13"/>
    <x v="2"/>
    <x v="0"/>
    <n v="4"/>
    <n v="45"/>
    <n v="28"/>
    <n v="1100"/>
    <n v="39"/>
  </r>
  <r>
    <n v="176"/>
    <s v="Nour Mahmoud"/>
    <x v="5"/>
    <s v="Marketing Specialist"/>
    <x v="0"/>
    <n v="43"/>
    <x v="0"/>
    <x v="162"/>
    <x v="1"/>
    <x v="1"/>
    <x v="5"/>
    <n v="2988"/>
    <x v="74"/>
    <n v="8"/>
    <n v="10237"/>
    <x v="0"/>
    <n v="2.92"/>
    <x v="0"/>
    <x v="3"/>
    <n v="3"/>
    <n v="31"/>
    <n v="9"/>
    <n v="229"/>
    <n v="25"/>
  </r>
  <r>
    <n v="196"/>
    <s v="Mohamed Youssef"/>
    <x v="0"/>
    <s v="Operations Analyst"/>
    <x v="0"/>
    <n v="29"/>
    <x v="2"/>
    <x v="163"/>
    <x v="32"/>
    <x v="0"/>
    <x v="0"/>
    <n v="857"/>
    <x v="14"/>
    <n v="15"/>
    <n v="6396"/>
    <x v="1"/>
    <n v="4.28"/>
    <x v="2"/>
    <x v="4"/>
    <n v="4"/>
    <n v="9"/>
    <n v="36"/>
    <n v="1395"/>
    <n v="39"/>
  </r>
  <r>
    <n v="136"/>
    <s v="Rania Youssef"/>
    <x v="4"/>
    <s v="Accountant"/>
    <x v="1"/>
    <n v="30"/>
    <x v="1"/>
    <x v="164"/>
    <x v="1"/>
    <x v="1"/>
    <x v="0"/>
    <n v="2591"/>
    <x v="76"/>
    <n v="7"/>
    <n v="14741"/>
    <x v="0"/>
    <n v="4.46"/>
    <x v="2"/>
    <x v="2"/>
    <n v="5"/>
    <n v="46"/>
    <n v="3"/>
    <n v="1295"/>
    <n v="432"/>
  </r>
  <r>
    <n v="137"/>
    <s v="Hala Mostafa"/>
    <x v="5"/>
    <s v="Marketing Specialist"/>
    <x v="1"/>
    <n v="23"/>
    <x v="2"/>
    <x v="165"/>
    <x v="1"/>
    <x v="1"/>
    <x v="0"/>
    <n v="2348"/>
    <x v="77"/>
    <n v="0"/>
    <n v="13380"/>
    <x v="0"/>
    <n v="4.87"/>
    <x v="1"/>
    <x v="1"/>
    <n v="2"/>
    <n v="28"/>
    <n v="20"/>
    <n v="957"/>
    <n v="48"/>
  </r>
  <r>
    <n v="138"/>
    <s v="Aya Fathy"/>
    <x v="2"/>
    <s v="HR Manager"/>
    <x v="1"/>
    <n v="49"/>
    <x v="0"/>
    <x v="166"/>
    <x v="1"/>
    <x v="1"/>
    <x v="6"/>
    <n v="1338"/>
    <x v="67"/>
    <n v="17"/>
    <n v="5020"/>
    <x v="2"/>
    <n v="4.26"/>
    <x v="2"/>
    <x v="2"/>
    <n v="2"/>
    <n v="20"/>
    <n v="30"/>
    <n v="1176"/>
    <n v="39"/>
  </r>
  <r>
    <n v="140"/>
    <s v="Ibrahim Ibrahim"/>
    <x v="1"/>
    <s v="Account Manager"/>
    <x v="0"/>
    <n v="37"/>
    <x v="1"/>
    <x v="167"/>
    <x v="33"/>
    <x v="0"/>
    <x v="2"/>
    <n v="636"/>
    <x v="25"/>
    <n v="3"/>
    <n v="9714"/>
    <x v="1"/>
    <n v="3.9"/>
    <x v="2"/>
    <x v="3"/>
    <n v="3"/>
    <n v="36"/>
    <n v="34"/>
    <n v="877"/>
    <n v="26"/>
  </r>
  <r>
    <n v="141"/>
    <s v="Omar Youssef"/>
    <x v="5"/>
    <s v="Marketing Specialist"/>
    <x v="0"/>
    <n v="44"/>
    <x v="0"/>
    <x v="168"/>
    <x v="1"/>
    <x v="1"/>
    <x v="2"/>
    <n v="1618"/>
    <x v="43"/>
    <n v="15"/>
    <n v="5294"/>
    <x v="2"/>
    <n v="3.37"/>
    <x v="0"/>
    <x v="0"/>
    <n v="3"/>
    <n v="13"/>
    <n v="12"/>
    <n v="1795"/>
    <n v="150"/>
  </r>
  <r>
    <n v="142"/>
    <s v="Hassan Ali"/>
    <x v="1"/>
    <s v="Sales Executive"/>
    <x v="0"/>
    <n v="29"/>
    <x v="2"/>
    <x v="169"/>
    <x v="1"/>
    <x v="1"/>
    <x v="2"/>
    <n v="1916"/>
    <x v="78"/>
    <n v="20"/>
    <n v="4831"/>
    <x v="2"/>
    <n v="4.17"/>
    <x v="2"/>
    <x v="2"/>
    <n v="2"/>
    <n v="14"/>
    <n v="3"/>
    <n v="305"/>
    <n v="102"/>
  </r>
  <r>
    <n v="144"/>
    <s v="Mahmoud Nabil"/>
    <x v="4"/>
    <s v="Accountant"/>
    <x v="0"/>
    <n v="27"/>
    <x v="2"/>
    <x v="170"/>
    <x v="1"/>
    <x v="1"/>
    <x v="5"/>
    <n v="2792"/>
    <x v="58"/>
    <n v="12"/>
    <n v="10846"/>
    <x v="0"/>
    <n v="4.71"/>
    <x v="1"/>
    <x v="4"/>
    <n v="1"/>
    <n v="50"/>
    <n v="31"/>
    <n v="481"/>
    <n v="16"/>
  </r>
  <r>
    <n v="147"/>
    <s v="Fatma Khaled"/>
    <x v="1"/>
    <s v="Sales Executive"/>
    <x v="1"/>
    <n v="43"/>
    <x v="0"/>
    <x v="171"/>
    <x v="1"/>
    <x v="1"/>
    <x v="6"/>
    <n v="1376"/>
    <x v="49"/>
    <n v="10"/>
    <n v="5562"/>
    <x v="2"/>
    <n v="2.96"/>
    <x v="0"/>
    <x v="4"/>
    <n v="4"/>
    <n v="59"/>
    <n v="15"/>
    <n v="113"/>
    <n v="8"/>
  </r>
  <r>
    <n v="149"/>
    <s v="Ibrahim Mahmoud"/>
    <x v="0"/>
    <s v="Coordinator"/>
    <x v="0"/>
    <n v="41"/>
    <x v="0"/>
    <x v="172"/>
    <x v="1"/>
    <x v="1"/>
    <x v="3"/>
    <n v="984"/>
    <x v="79"/>
    <n v="4"/>
    <n v="7618"/>
    <x v="1"/>
    <n v="3.05"/>
    <x v="0"/>
    <x v="4"/>
    <n v="4"/>
    <n v="29"/>
    <n v="38"/>
    <n v="865"/>
    <n v="23"/>
  </r>
  <r>
    <n v="150"/>
    <s v="Salma Ibrahim"/>
    <x v="5"/>
    <s v="Marketing Specialist"/>
    <x v="1"/>
    <n v="38"/>
    <x v="1"/>
    <x v="173"/>
    <x v="1"/>
    <x v="1"/>
    <x v="1"/>
    <n v="779"/>
    <x v="61"/>
    <n v="18"/>
    <n v="11319"/>
    <x v="0"/>
    <n v="3.82"/>
    <x v="2"/>
    <x v="3"/>
    <n v="1"/>
    <n v="7"/>
    <n v="3"/>
    <n v="1797"/>
    <n v="599"/>
  </r>
  <r>
    <n v="161"/>
    <s v="Salma Ibrahim"/>
    <x v="3"/>
    <s v="BI Developer"/>
    <x v="1"/>
    <n v="49"/>
    <x v="0"/>
    <x v="118"/>
    <x v="34"/>
    <x v="0"/>
    <x v="5"/>
    <n v="1227"/>
    <x v="20"/>
    <n v="6"/>
    <n v="9455"/>
    <x v="1"/>
    <n v="3.26"/>
    <x v="0"/>
    <x v="1"/>
    <n v="2"/>
    <n v="47"/>
    <n v="7"/>
    <n v="1629"/>
    <n v="233"/>
  </r>
  <r>
    <n v="151"/>
    <s v="Omar Ali"/>
    <x v="1"/>
    <s v="Account Manager"/>
    <x v="0"/>
    <n v="25"/>
    <x v="2"/>
    <x v="174"/>
    <x v="1"/>
    <x v="1"/>
    <x v="3"/>
    <n v="960"/>
    <x v="18"/>
    <n v="16"/>
    <n v="7365"/>
    <x v="1"/>
    <n v="4.29"/>
    <x v="2"/>
    <x v="0"/>
    <n v="1"/>
    <n v="28"/>
    <n v="3"/>
    <n v="1028"/>
    <n v="343"/>
  </r>
  <r>
    <n v="152"/>
    <s v="Rania Hassan"/>
    <x v="2"/>
    <s v="HR Manager"/>
    <x v="1"/>
    <n v="43"/>
    <x v="0"/>
    <x v="175"/>
    <x v="1"/>
    <x v="1"/>
    <x v="3"/>
    <n v="944"/>
    <x v="80"/>
    <n v="0"/>
    <n v="9049"/>
    <x v="1"/>
    <n v="4.3099999999999996"/>
    <x v="2"/>
    <x v="0"/>
    <n v="3"/>
    <n v="47"/>
    <n v="13"/>
    <n v="1284"/>
    <n v="99"/>
  </r>
  <r>
    <n v="156"/>
    <s v="Ahmed Ibrahim"/>
    <x v="0"/>
    <s v="Operations Analyst"/>
    <x v="0"/>
    <n v="25"/>
    <x v="2"/>
    <x v="176"/>
    <x v="1"/>
    <x v="1"/>
    <x v="6"/>
    <n v="1322"/>
    <x v="59"/>
    <n v="7"/>
    <n v="13731"/>
    <x v="0"/>
    <n v="2.58"/>
    <x v="0"/>
    <x v="2"/>
    <n v="1"/>
    <n v="47"/>
    <n v="2"/>
    <n v="923"/>
    <n v="462"/>
  </r>
  <r>
    <n v="166"/>
    <s v="Ahmed Ibrahim"/>
    <x v="0"/>
    <s v="Coordinator"/>
    <x v="0"/>
    <n v="23"/>
    <x v="2"/>
    <x v="177"/>
    <x v="35"/>
    <x v="0"/>
    <x v="4"/>
    <n v="324"/>
    <x v="38"/>
    <n v="15"/>
    <n v="14122"/>
    <x v="0"/>
    <n v="4.09"/>
    <x v="2"/>
    <x v="2"/>
    <n v="4"/>
    <n v="1"/>
    <n v="0"/>
    <n v="1189"/>
    <m/>
  </r>
  <r>
    <n v="157"/>
    <s v="Mohamed Ali"/>
    <x v="5"/>
    <s v="Content Creator"/>
    <x v="0"/>
    <n v="48"/>
    <x v="0"/>
    <x v="178"/>
    <x v="1"/>
    <x v="1"/>
    <x v="4"/>
    <n v="2080"/>
    <x v="62"/>
    <n v="7"/>
    <n v="13438"/>
    <x v="0"/>
    <n v="3.3"/>
    <x v="0"/>
    <x v="2"/>
    <n v="3"/>
    <n v="19"/>
    <n v="9"/>
    <n v="1452"/>
    <n v="161"/>
  </r>
  <r>
    <n v="158"/>
    <s v="Hassan Hassan"/>
    <x v="1"/>
    <s v="Sales Executive"/>
    <x v="0"/>
    <n v="39"/>
    <x v="1"/>
    <x v="179"/>
    <x v="1"/>
    <x v="1"/>
    <x v="4"/>
    <n v="2125"/>
    <x v="10"/>
    <n v="16"/>
    <n v="12120"/>
    <x v="0"/>
    <n v="2.62"/>
    <x v="0"/>
    <x v="3"/>
    <n v="4"/>
    <n v="20"/>
    <n v="26"/>
    <n v="936"/>
    <n v="36"/>
  </r>
  <r>
    <n v="163"/>
    <s v="Sara Ibrahim"/>
    <x v="5"/>
    <s v="Content Creator"/>
    <x v="1"/>
    <n v="35"/>
    <x v="1"/>
    <x v="180"/>
    <x v="1"/>
    <x v="1"/>
    <x v="3"/>
    <n v="1138"/>
    <x v="81"/>
    <n v="0"/>
    <n v="4749"/>
    <x v="2"/>
    <n v="3.91"/>
    <x v="2"/>
    <x v="4"/>
    <n v="2"/>
    <n v="16"/>
    <n v="35"/>
    <n v="1296"/>
    <n v="37"/>
  </r>
  <r>
    <n v="168"/>
    <s v="Mona Youssef"/>
    <x v="2"/>
    <s v="Recruiter"/>
    <x v="1"/>
    <n v="33"/>
    <x v="1"/>
    <x v="181"/>
    <x v="1"/>
    <x v="1"/>
    <x v="1"/>
    <n v="499"/>
    <x v="3"/>
    <n v="9"/>
    <n v="10652"/>
    <x v="0"/>
    <n v="3.65"/>
    <x v="2"/>
    <x v="4"/>
    <n v="2"/>
    <n v="43"/>
    <n v="5"/>
    <n v="1438"/>
    <n v="288"/>
  </r>
  <r>
    <n v="169"/>
    <s v="Nour Fathy"/>
    <x v="0"/>
    <s v="Coordinator"/>
    <x v="0"/>
    <n v="42"/>
    <x v="0"/>
    <x v="182"/>
    <x v="36"/>
    <x v="0"/>
    <x v="5"/>
    <n v="793"/>
    <x v="61"/>
    <n v="13"/>
    <n v="4154"/>
    <x v="2"/>
    <n v="4.26"/>
    <x v="2"/>
    <x v="1"/>
    <n v="4"/>
    <n v="41"/>
    <n v="21"/>
    <n v="1258"/>
    <n v="60"/>
  </r>
  <r>
    <n v="171"/>
    <s v="Rania Ali"/>
    <x v="4"/>
    <s v="Financial Analyst"/>
    <x v="1"/>
    <n v="31"/>
    <x v="1"/>
    <x v="183"/>
    <x v="1"/>
    <x v="1"/>
    <x v="5"/>
    <n v="2965"/>
    <x v="23"/>
    <n v="17"/>
    <n v="6661"/>
    <x v="1"/>
    <n v="3.91"/>
    <x v="2"/>
    <x v="2"/>
    <n v="4"/>
    <n v="21"/>
    <n v="24"/>
    <n v="1647"/>
    <n v="69"/>
  </r>
  <r>
    <n v="175"/>
    <s v="Salma Fathy"/>
    <x v="2"/>
    <s v="HR Manager"/>
    <x v="1"/>
    <n v="25"/>
    <x v="2"/>
    <x v="184"/>
    <x v="37"/>
    <x v="0"/>
    <x v="5"/>
    <n v="930"/>
    <x v="80"/>
    <n v="19"/>
    <n v="4430"/>
    <x v="2"/>
    <n v="2.72"/>
    <x v="0"/>
    <x v="2"/>
    <n v="1"/>
    <n v="38"/>
    <n v="20"/>
    <n v="1868"/>
    <n v="93"/>
  </r>
  <r>
    <n v="179"/>
    <s v="Nour Khaled"/>
    <x v="2"/>
    <s v="Recruiter"/>
    <x v="0"/>
    <n v="40"/>
    <x v="1"/>
    <x v="185"/>
    <x v="1"/>
    <x v="1"/>
    <x v="3"/>
    <n v="1073"/>
    <x v="82"/>
    <n v="11"/>
    <n v="7971"/>
    <x v="1"/>
    <n v="3.31"/>
    <x v="0"/>
    <x v="3"/>
    <n v="4"/>
    <n v="7"/>
    <n v="36"/>
    <n v="509"/>
    <n v="14"/>
  </r>
  <r>
    <n v="180"/>
    <s v="Ahmed Sayed"/>
    <x v="1"/>
    <s v="Sales Executive"/>
    <x v="0"/>
    <n v="47"/>
    <x v="0"/>
    <x v="119"/>
    <x v="1"/>
    <x v="1"/>
    <x v="1"/>
    <n v="797"/>
    <x v="2"/>
    <n v="15"/>
    <n v="8773"/>
    <x v="1"/>
    <n v="4.58"/>
    <x v="1"/>
    <x v="1"/>
    <n v="4"/>
    <n v="8"/>
    <n v="40"/>
    <n v="720"/>
    <n v="18"/>
  </r>
  <r>
    <n v="181"/>
    <s v="Aya Mostafa"/>
    <x v="2"/>
    <s v="HR Specialist"/>
    <x v="1"/>
    <n v="41"/>
    <x v="0"/>
    <x v="186"/>
    <x v="1"/>
    <x v="1"/>
    <x v="4"/>
    <n v="1999"/>
    <x v="32"/>
    <n v="13"/>
    <n v="11851"/>
    <x v="0"/>
    <n v="3.96"/>
    <x v="2"/>
    <x v="2"/>
    <n v="5"/>
    <n v="34"/>
    <n v="2"/>
    <n v="1719"/>
    <n v="860"/>
  </r>
  <r>
    <n v="182"/>
    <s v="Mahmoud Mahmoud"/>
    <x v="4"/>
    <s v="Accountant"/>
    <x v="0"/>
    <n v="27"/>
    <x v="2"/>
    <x v="187"/>
    <x v="1"/>
    <x v="1"/>
    <x v="1"/>
    <n v="837"/>
    <x v="34"/>
    <n v="10"/>
    <n v="14600"/>
    <x v="0"/>
    <n v="4.03"/>
    <x v="2"/>
    <x v="2"/>
    <n v="4"/>
    <n v="50"/>
    <n v="27"/>
    <n v="316"/>
    <n v="12"/>
  </r>
  <r>
    <n v="184"/>
    <s v="Mahmoud Mahmoud"/>
    <x v="3"/>
    <s v="Software Engineer"/>
    <x v="0"/>
    <n v="31"/>
    <x v="1"/>
    <x v="188"/>
    <x v="1"/>
    <x v="1"/>
    <x v="2"/>
    <n v="1821"/>
    <x v="35"/>
    <n v="15"/>
    <n v="9620"/>
    <x v="1"/>
    <n v="3.64"/>
    <x v="2"/>
    <x v="4"/>
    <n v="5"/>
    <n v="22"/>
    <n v="30"/>
    <n v="299"/>
    <n v="10"/>
  </r>
  <r>
    <n v="197"/>
    <s v="Mahmoud Mahmoud"/>
    <x v="4"/>
    <s v="Financial Analyst"/>
    <x v="0"/>
    <n v="44"/>
    <x v="0"/>
    <x v="189"/>
    <x v="1"/>
    <x v="1"/>
    <x v="6"/>
    <n v="1332"/>
    <x v="59"/>
    <n v="18"/>
    <n v="10046"/>
    <x v="0"/>
    <n v="3.64"/>
    <x v="2"/>
    <x v="0"/>
    <n v="3"/>
    <n v="0"/>
    <n v="5"/>
    <n v="1596"/>
    <n v="319"/>
  </r>
  <r>
    <n v="185"/>
    <s v="Ibrahim Hassan"/>
    <x v="5"/>
    <s v="Marketing Specialist"/>
    <x v="0"/>
    <n v="49"/>
    <x v="0"/>
    <x v="190"/>
    <x v="1"/>
    <x v="1"/>
    <x v="3"/>
    <n v="1177"/>
    <x v="5"/>
    <n v="16"/>
    <n v="9620"/>
    <x v="1"/>
    <n v="4.12"/>
    <x v="2"/>
    <x v="4"/>
    <n v="2"/>
    <n v="11"/>
    <n v="35"/>
    <n v="427"/>
    <n v="12"/>
  </r>
  <r>
    <n v="186"/>
    <s v="Heba Ibrahim"/>
    <x v="4"/>
    <s v="Financial Analyst"/>
    <x v="1"/>
    <n v="27"/>
    <x v="2"/>
    <x v="191"/>
    <x v="1"/>
    <x v="1"/>
    <x v="1"/>
    <n v="734"/>
    <x v="57"/>
    <n v="19"/>
    <n v="14493"/>
    <x v="0"/>
    <n v="4.1399999999999997"/>
    <x v="2"/>
    <x v="0"/>
    <n v="1"/>
    <n v="56"/>
    <n v="12"/>
    <n v="1020"/>
    <n v="85"/>
  </r>
  <r>
    <n v="188"/>
    <s v="Dina Fathy"/>
    <x v="3"/>
    <s v="DBA"/>
    <x v="1"/>
    <n v="41"/>
    <x v="0"/>
    <x v="192"/>
    <x v="1"/>
    <x v="1"/>
    <x v="4"/>
    <n v="1958"/>
    <x v="11"/>
    <n v="14"/>
    <n v="10431"/>
    <x v="0"/>
    <n v="3.97"/>
    <x v="2"/>
    <x v="3"/>
    <n v="3"/>
    <n v="39"/>
    <n v="11"/>
    <n v="1766"/>
    <n v="161"/>
  </r>
  <r>
    <n v="195"/>
    <s v="Rania Khaled"/>
    <x v="2"/>
    <s v="HR Manager"/>
    <x v="1"/>
    <n v="41"/>
    <x v="0"/>
    <x v="193"/>
    <x v="1"/>
    <x v="1"/>
    <x v="4"/>
    <n v="2181"/>
    <x v="83"/>
    <n v="18"/>
    <n v="12827"/>
    <x v="0"/>
    <n v="2.92"/>
    <x v="0"/>
    <x v="3"/>
    <n v="3"/>
    <n v="17"/>
    <n v="32"/>
    <n v="1943"/>
    <n v="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64640C-FAD4-4BAD-AA81-3B4BD47B4202}" name="PivotTable25"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43:E50" firstHeaderRow="1" firstDataRow="1" firstDataCol="1" rowPageCount="1" colPageCount="1"/>
  <pivotFields count="30">
    <pivotField showAll="0"/>
    <pivotField showAll="0"/>
    <pivotField axis="axisRow" showAll="0">
      <items count="7">
        <item x="4"/>
        <item x="2"/>
        <item x="3"/>
        <item x="5"/>
        <item x="0"/>
        <item x="1"/>
        <item t="default"/>
      </items>
    </pivotField>
    <pivotField showAll="0"/>
    <pivotField showAll="0">
      <items count="5">
        <item m="1" x="3"/>
        <item x="1"/>
        <item m="1" x="2"/>
        <item x="0"/>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showAll="0"/>
    <pivotField showAll="0"/>
    <pivotField showAll="0"/>
    <pivotField axis="axisPage" showAll="0">
      <items count="4">
        <item x="1"/>
        <item x="0"/>
        <item x="2"/>
        <item t="default"/>
      </items>
    </pivotField>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2"/>
  </rowFields>
  <rowItems count="7">
    <i>
      <x/>
    </i>
    <i>
      <x v="1"/>
    </i>
    <i>
      <x v="2"/>
    </i>
    <i>
      <x v="3"/>
    </i>
    <i>
      <x v="4"/>
    </i>
    <i>
      <x v="5"/>
    </i>
    <i t="grand">
      <x/>
    </i>
  </rowItems>
  <colItems count="1">
    <i/>
  </colItems>
  <pageFields count="1">
    <pageField fld="17" item="0" hier="-1"/>
  </pageFields>
  <dataFields count="1">
    <dataField name="Average of TrainingCost" fld="22" subtotal="average" baseField="0" baseItem="0"/>
  </dataFields>
  <formats count="7">
    <format dxfId="11">
      <pivotArea outline="0" collapsedLevelsAreSubtotals="1" fieldPosition="0"/>
    </format>
    <format dxfId="12">
      <pivotArea type="all" dataOnly="0" outline="0" fieldPosition="0"/>
    </format>
    <format dxfId="13">
      <pivotArea outline="0" collapsedLevelsAreSubtotals="1" fieldPosition="0"/>
    </format>
    <format dxfId="14">
      <pivotArea dataOnly="0" labelOnly="1" outline="0" axis="axisValues" fieldPosition="0"/>
    </format>
    <format dxfId="15">
      <pivotArea type="all" dataOnly="0" outline="0" fieldPosition="0"/>
    </format>
    <format dxfId="16">
      <pivotArea outline="0" collapsedLevelsAreSubtotals="1" fieldPosition="0"/>
    </format>
    <format dxfId="17">
      <pivotArea dataOnly="0" labelOnly="1" outline="0" axis="axisValues"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6249D6-893A-4680-8579-3D6A7CCD9905}" name="leavers by year per department"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P32:W41" firstHeaderRow="1" firstDataRow="2" firstDataCol="1"/>
  <pivotFields count="30">
    <pivotField dataField="1" showAll="0"/>
    <pivotField showAll="0"/>
    <pivotField axis="axisCol" showAll="0">
      <items count="7">
        <item x="4"/>
        <item x="2"/>
        <item x="3"/>
        <item x="5"/>
        <item x="0"/>
        <item x="1"/>
        <item t="default"/>
      </items>
    </pivotField>
    <pivotField showAll="0"/>
    <pivotField showAll="0">
      <items count="5">
        <item m="1" x="3"/>
        <item m="1" x="2"/>
        <item x="0"/>
        <item x="1"/>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0">
        <item h="1" sd="0" x="0"/>
        <item sd="0" x="1"/>
        <item sd="0" x="2"/>
        <item sd="0" x="3"/>
        <item sd="0" x="4"/>
        <item sd="0" x="5"/>
        <item sd="0" x="6"/>
        <item sd="0" x="7"/>
        <item sd="0" x="8"/>
        <item t="default"/>
      </items>
    </pivotField>
  </pivotFields>
  <rowFields count="1">
    <field x="29"/>
  </rowFields>
  <rowItems count="8">
    <i>
      <x v="1"/>
    </i>
    <i>
      <x v="2"/>
    </i>
    <i>
      <x v="3"/>
    </i>
    <i>
      <x v="4"/>
    </i>
    <i>
      <x v="5"/>
    </i>
    <i>
      <x v="6"/>
    </i>
    <i>
      <x v="7"/>
    </i>
    <i t="grand">
      <x/>
    </i>
  </rowItems>
  <colFields count="1">
    <field x="2"/>
  </colFields>
  <colItems count="7">
    <i>
      <x/>
    </i>
    <i>
      <x v="1"/>
    </i>
    <i>
      <x v="2"/>
    </i>
    <i>
      <x v="3"/>
    </i>
    <i>
      <x v="4"/>
    </i>
    <i>
      <x v="5"/>
    </i>
    <i t="grand">
      <x/>
    </i>
  </colItems>
  <dataFields count="1">
    <dataField name="Count of EmployeeID" fld="0" subtotal="count" baseField="25" baseItem="1"/>
  </dataFields>
  <formats count="10">
    <format dxfId="55">
      <pivotArea type="all" dataOnly="0" outline="0" fieldPosition="0"/>
    </format>
    <format dxfId="56">
      <pivotArea outline="0" collapsedLevelsAreSubtotals="1" fieldPosition="0"/>
    </format>
    <format dxfId="57">
      <pivotArea field="4" type="button" dataOnly="0" labelOnly="1" outline="0"/>
    </format>
    <format dxfId="58">
      <pivotArea dataOnly="0" labelOnly="1" grandRow="1" outline="0" fieldPosition="0"/>
    </format>
    <format dxfId="59">
      <pivotArea dataOnly="0" labelOnly="1" outline="0" axis="axisValues" fieldPosition="0"/>
    </format>
    <format dxfId="60">
      <pivotArea type="all" dataOnly="0" outline="0" fieldPosition="0"/>
    </format>
    <format dxfId="61">
      <pivotArea outline="0" collapsedLevelsAreSubtotals="1" fieldPosition="0"/>
    </format>
    <format dxfId="62">
      <pivotArea field="4" type="button" dataOnly="0" labelOnly="1" outline="0"/>
    </format>
    <format dxfId="63">
      <pivotArea dataOnly="0" labelOnly="1" grandRow="1" outline="0" fieldPosition="0"/>
    </format>
    <format dxfId="64">
      <pivotArea dataOnly="0" labelOnly="1" outline="0" axis="axisValues" fieldPosition="0"/>
    </format>
  </formats>
  <chartFormats count="2">
    <chartFormat chart="15" format="2"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24172C-9460-4F66-9E0C-2DCFF6F7AF64}" name="Average Years of Service by Department"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44:J51" firstHeaderRow="1" firstDataRow="1" firstDataCol="1"/>
  <pivotFields count="30">
    <pivotField showAll="0"/>
    <pivotField showAll="0"/>
    <pivotField axis="axisRow" showAll="0" sortType="descending">
      <items count="7">
        <item x="4"/>
        <item x="2"/>
        <item x="3"/>
        <item x="5"/>
        <item x="0"/>
        <item x="1"/>
        <item t="default"/>
      </items>
      <autoSortScope>
        <pivotArea dataOnly="0" outline="0" fieldPosition="0">
          <references count="1">
            <reference field="4294967294" count="1" selected="0">
              <x v="0"/>
            </reference>
          </references>
        </pivotArea>
      </autoSortScope>
    </pivotField>
    <pivotField showAll="0"/>
    <pivotField showAll="0">
      <items count="5">
        <item m="1" x="3"/>
        <item x="1"/>
        <item m="1" x="2"/>
        <item x="0"/>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2"/>
  </rowFields>
  <rowItems count="7">
    <i>
      <x/>
    </i>
    <i>
      <x v="2"/>
    </i>
    <i>
      <x v="4"/>
    </i>
    <i>
      <x v="3"/>
    </i>
    <i>
      <x v="5"/>
    </i>
    <i>
      <x v="1"/>
    </i>
    <i t="grand">
      <x/>
    </i>
  </rowItems>
  <colItems count="1">
    <i/>
  </colItems>
  <dataFields count="1">
    <dataField name="Average of AttendanceMonths" fld="12" subtotal="average" baseField="2" baseItem="0"/>
  </dataFields>
  <formats count="7">
    <format dxfId="65">
      <pivotArea type="all" dataOnly="0" outline="0" fieldPosition="0"/>
    </format>
    <format dxfId="66">
      <pivotArea outline="0" collapsedLevelsAreSubtotals="1" fieldPosition="0"/>
    </format>
    <format dxfId="67">
      <pivotArea dataOnly="0" labelOnly="1" outline="0" axis="axisValues" fieldPosition="0"/>
    </format>
    <format dxfId="68">
      <pivotArea type="all" dataOnly="0" outline="0" fieldPosition="0"/>
    </format>
    <format dxfId="69">
      <pivotArea dataOnly="0" labelOnly="1" outline="0" axis="axisValues" fieldPosition="0"/>
    </format>
    <format dxfId="70">
      <pivotArea outline="0" collapsedLevelsAreSubtotals="1" fieldPosition="0"/>
    </format>
    <format dxfId="71">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C205CF-E7AD-45CA-B63D-61220543F96A}" name="Department"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1:I18" firstHeaderRow="1" firstDataRow="1" firstDataCol="1"/>
  <pivotFields count="30">
    <pivotField showAll="0"/>
    <pivotField showAll="0"/>
    <pivotField axis="axisRow" showAll="0">
      <items count="7">
        <item x="4"/>
        <item x="2"/>
        <item x="3"/>
        <item x="5"/>
        <item x="0"/>
        <item x="1"/>
        <item t="default"/>
      </items>
    </pivotField>
    <pivotField showAll="0"/>
    <pivotField showAll="0">
      <items count="5">
        <item m="1" x="3"/>
        <item m="1" x="2"/>
        <item x="0"/>
        <item x="1"/>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2"/>
  </rowFields>
  <rowItems count="7">
    <i>
      <x/>
    </i>
    <i>
      <x v="1"/>
    </i>
    <i>
      <x v="2"/>
    </i>
    <i>
      <x v="3"/>
    </i>
    <i>
      <x v="4"/>
    </i>
    <i>
      <x v="5"/>
    </i>
    <i t="grand">
      <x/>
    </i>
  </rowItems>
  <colItems count="1">
    <i/>
  </colItems>
  <formats count="10">
    <format dxfId="72">
      <pivotArea type="all" dataOnly="0" outline="0" fieldPosition="0"/>
    </format>
    <format dxfId="73">
      <pivotArea outline="0" collapsedLevelsAreSubtotals="1" fieldPosition="0"/>
    </format>
    <format dxfId="74">
      <pivotArea field="4" type="button" dataOnly="0" labelOnly="1" outline="0"/>
    </format>
    <format dxfId="75">
      <pivotArea dataOnly="0" labelOnly="1" grandRow="1" outline="0" fieldPosition="0"/>
    </format>
    <format dxfId="76">
      <pivotArea dataOnly="0" labelOnly="1" outline="0" axis="axisValues" fieldPosition="0"/>
    </format>
    <format dxfId="77">
      <pivotArea type="all" dataOnly="0" outline="0" fieldPosition="0"/>
    </format>
    <format dxfId="78">
      <pivotArea outline="0" collapsedLevelsAreSubtotals="1" fieldPosition="0"/>
    </format>
    <format dxfId="79">
      <pivotArea field="4" type="button" dataOnly="0" labelOnly="1" outline="0"/>
    </format>
    <format dxfId="80">
      <pivotArea dataOnly="0" labelOnly="1" grandRow="1" outline="0" fieldPosition="0"/>
    </format>
    <format dxfId="8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A24C92-D90A-4CF4-8F97-41ECBB544ACD}" name="Count of EngagementScore"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27:J31" firstHeaderRow="1" firstDataRow="1" firstDataCol="1"/>
  <pivotFields count="30">
    <pivotField showAll="0"/>
    <pivotField showAll="0"/>
    <pivotField showAll="0">
      <items count="7">
        <item x="4"/>
        <item x="2"/>
        <item x="3"/>
        <item x="5"/>
        <item x="0"/>
        <item x="1"/>
        <item t="default"/>
      </items>
    </pivotField>
    <pivotField showAll="0"/>
    <pivotField showAll="0">
      <items count="5">
        <item m="1" x="3"/>
        <item x="1"/>
        <item m="1" x="2"/>
        <item x="0"/>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5"/>
  </rowFields>
  <rowItems count="4">
    <i>
      <x v="2"/>
    </i>
    <i>
      <x/>
    </i>
    <i>
      <x v="1"/>
    </i>
    <i t="grand">
      <x/>
    </i>
  </rowItems>
  <colItems count="1">
    <i/>
  </colItems>
  <dataFields count="1">
    <dataField name="Average of EngagementScore" fld="19" subtotal="average" baseField="15" baseItem="0"/>
  </dataFields>
  <formats count="7">
    <format dxfId="88">
      <pivotArea type="all" dataOnly="0" outline="0" fieldPosition="0"/>
    </format>
    <format dxfId="87">
      <pivotArea outline="0" collapsedLevelsAreSubtotals="1" fieldPosition="0"/>
    </format>
    <format dxfId="86">
      <pivotArea dataOnly="0" labelOnly="1" outline="0" axis="axisValues" fieldPosition="0"/>
    </format>
    <format dxfId="85">
      <pivotArea type="all" dataOnly="0" outline="0" fieldPosition="0"/>
    </format>
    <format dxfId="84">
      <pivotArea dataOnly="0" labelOnly="1" outline="0" axis="axisValues" fieldPosition="0"/>
    </format>
    <format dxfId="83">
      <pivotArea outline="0" collapsedLevelsAreSubtotals="1" fieldPosition="0"/>
    </format>
    <format dxfId="82">
      <pivotArea collapsedLevelsAreSubtotals="1" fieldPosition="0">
        <references count="1">
          <reference field="15" count="0"/>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009174-DC49-4B6E-BAF8-DD3C6DEE5DAA}" name="leavers by year"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P8:Q16" firstHeaderRow="1" firstDataRow="1" firstDataCol="1"/>
  <pivotFields count="30">
    <pivotField dataField="1" showAll="0"/>
    <pivotField showAll="0"/>
    <pivotField showAll="0">
      <items count="7">
        <item x="4"/>
        <item x="2"/>
        <item x="3"/>
        <item x="5"/>
        <item x="0"/>
        <item x="1"/>
        <item t="default"/>
      </items>
    </pivotField>
    <pivotField showAll="0"/>
    <pivotField showAll="0">
      <items count="5">
        <item m="1" x="3"/>
        <item m="1" x="2"/>
        <item x="0"/>
        <item x="1"/>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0">
        <item h="1" sd="0" x="0"/>
        <item sd="0" x="1"/>
        <item sd="0" x="2"/>
        <item sd="0" x="3"/>
        <item sd="0" x="4"/>
        <item sd="0" x="5"/>
        <item sd="0" x="6"/>
        <item sd="0" x="7"/>
        <item sd="0" x="8"/>
        <item t="default"/>
      </items>
    </pivotField>
  </pivotFields>
  <rowFields count="1">
    <field x="29"/>
  </rowFields>
  <rowItems count="8">
    <i>
      <x v="1"/>
    </i>
    <i>
      <x v="2"/>
    </i>
    <i>
      <x v="3"/>
    </i>
    <i>
      <x v="4"/>
    </i>
    <i>
      <x v="5"/>
    </i>
    <i>
      <x v="6"/>
    </i>
    <i>
      <x v="7"/>
    </i>
    <i t="grand">
      <x/>
    </i>
  </rowItems>
  <colItems count="1">
    <i/>
  </colItems>
  <dataFields count="1">
    <dataField name="Count of EmployeeID" fld="0" subtotal="count" baseField="25" baseItem="1"/>
  </dataFields>
  <formats count="10">
    <format dxfId="45">
      <pivotArea type="all" dataOnly="0" outline="0" fieldPosition="0"/>
    </format>
    <format dxfId="46">
      <pivotArea outline="0" collapsedLevelsAreSubtotals="1" fieldPosition="0"/>
    </format>
    <format dxfId="47">
      <pivotArea field="4" type="button" dataOnly="0" labelOnly="1" outline="0"/>
    </format>
    <format dxfId="48">
      <pivotArea dataOnly="0" labelOnly="1" grandRow="1" outline="0" fieldPosition="0"/>
    </format>
    <format dxfId="49">
      <pivotArea dataOnly="0" labelOnly="1" outline="0" axis="axisValues" fieldPosition="0"/>
    </format>
    <format dxfId="50">
      <pivotArea type="all" dataOnly="0" outline="0" fieldPosition="0"/>
    </format>
    <format dxfId="51">
      <pivotArea outline="0" collapsedLevelsAreSubtotals="1" fieldPosition="0"/>
    </format>
    <format dxfId="52">
      <pivotArea field="4" type="button" dataOnly="0" labelOnly="1" outline="0"/>
    </format>
    <format dxfId="53">
      <pivotArea dataOnly="0" labelOnly="1" grandRow="1" outline="0" fieldPosition="0"/>
    </format>
    <format dxfId="54">
      <pivotArea dataOnly="0" labelOnly="1" outline="0" axis="axisValues" fieldPosition="0"/>
    </format>
  </format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4D07958-769A-422E-8945-2B2A5618B0CC}" name="Average of OvertimeHours"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B12" firstHeaderRow="1" firstDataRow="1" firstDataCol="0"/>
  <pivotFields count="30">
    <pivotField showAll="0"/>
    <pivotField showAll="0"/>
    <pivotField showAll="0">
      <items count="7">
        <item x="4"/>
        <item x="2"/>
        <item x="3"/>
        <item x="5"/>
        <item x="0"/>
        <item x="1"/>
        <item t="default"/>
      </items>
    </pivotField>
    <pivotField showAll="0"/>
    <pivotField showAll="0">
      <items count="5">
        <item m="1" x="3"/>
        <item x="1"/>
        <item m="1" x="2"/>
        <item x="0"/>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Items count="1">
    <i/>
  </colItems>
  <dataFields count="1">
    <dataField name="Average of OvertimeHours" fld="20" subtotal="average" baseField="0" baseItem="0"/>
  </dataFields>
  <formats count="6">
    <format dxfId="94">
      <pivotArea type="all" dataOnly="0" outline="0" fieldPosition="0"/>
    </format>
    <format dxfId="93">
      <pivotArea outline="0" collapsedLevelsAreSubtotals="1" fieldPosition="0"/>
    </format>
    <format dxfId="92">
      <pivotArea dataOnly="0" labelOnly="1" outline="0" axis="axisValues" fieldPosition="0"/>
    </format>
    <format dxfId="91">
      <pivotArea type="all" dataOnly="0" outline="0" fieldPosition="0"/>
    </format>
    <format dxfId="90">
      <pivotArea outline="0" collapsedLevelsAreSubtotals="1" fieldPosition="0"/>
    </format>
    <format dxfId="8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340032B-84CD-4593-BDCA-F2751CD1CF83}" name="AbsenceDays per dapartment"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32:C39" firstHeaderRow="1" firstDataRow="1" firstDataCol="1"/>
  <pivotFields count="30">
    <pivotField showAll="0"/>
    <pivotField showAll="0"/>
    <pivotField axis="axisRow" showAll="0" sortType="ascending">
      <items count="7">
        <item x="4"/>
        <item x="2"/>
        <item x="3"/>
        <item x="5"/>
        <item x="0"/>
        <item x="1"/>
        <item t="default"/>
      </items>
      <autoSortScope>
        <pivotArea dataOnly="0" outline="0" fieldPosition="0">
          <references count="1">
            <reference field="4294967294" count="1" selected="0">
              <x v="0"/>
            </reference>
          </references>
        </pivotArea>
      </autoSortScope>
    </pivotField>
    <pivotField showAll="0"/>
    <pivotField showAll="0">
      <items count="5">
        <item m="1" x="3"/>
        <item x="1"/>
        <item m="1" x="2"/>
        <item x="0"/>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2"/>
  </rowFields>
  <rowItems count="7">
    <i>
      <x v="4"/>
    </i>
    <i>
      <x v="3"/>
    </i>
    <i>
      <x v="1"/>
    </i>
    <i>
      <x v="5"/>
    </i>
    <i>
      <x/>
    </i>
    <i>
      <x v="2"/>
    </i>
    <i t="grand">
      <x/>
    </i>
  </rowItems>
  <colItems count="1">
    <i/>
  </colItems>
  <dataFields count="1">
    <dataField name="Average of AbsenceDays" fld="13" subtotal="average" baseField="2" baseItem="4" numFmtId="1"/>
  </dataFields>
  <formats count="8">
    <format dxfId="101">
      <pivotArea outline="0" collapsedLevelsAreSubtotals="1" fieldPosition="0"/>
    </format>
    <format dxfId="100">
      <pivotArea type="all" dataOnly="0" outline="0" fieldPosition="0"/>
    </format>
    <format dxfId="99">
      <pivotArea outline="0" collapsedLevelsAreSubtotals="1" fieldPosition="0"/>
    </format>
    <format dxfId="98">
      <pivotArea dataOnly="0" labelOnly="1" outline="0" axis="axisValues" fieldPosition="0"/>
    </format>
    <format dxfId="97">
      <pivotArea type="all" dataOnly="0" outline="0" fieldPosition="0"/>
    </format>
    <format dxfId="96">
      <pivotArea outline="0" collapsedLevelsAreSubtotals="1" fieldPosition="0"/>
    </format>
    <format dxfId="95">
      <pivotArea dataOnly="0" labelOnly="1" outline="0" axis="axisValues" fieldPosition="0"/>
    </format>
    <format dxfId="44">
      <pivotArea collapsedLevelsAreSubtotals="1" fieldPosition="0">
        <references count="1">
          <reference field="2" count="0"/>
        </references>
      </pivotArea>
    </format>
  </format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C4BE3FC-DE92-4F02-B8E7-2E0B2579AD93}" name="Count of EmployeeID &amp; age"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P1:Q5" firstHeaderRow="1" firstDataRow="1" firstDataCol="1"/>
  <pivotFields count="30">
    <pivotField dataField="1" showAll="0"/>
    <pivotField showAll="0"/>
    <pivotField showAll="0">
      <items count="7">
        <item x="4"/>
        <item x="2"/>
        <item x="3"/>
        <item x="5"/>
        <item x="0"/>
        <item x="1"/>
        <item t="default"/>
      </items>
    </pivotField>
    <pivotField showAll="0"/>
    <pivotField showAll="0">
      <items count="5">
        <item m="1" x="3"/>
        <item m="1" x="2"/>
        <item x="0"/>
        <item x="1"/>
        <item t="default"/>
      </items>
    </pivotField>
    <pivotField showAll="0"/>
    <pivotField axis="axisRow"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6"/>
  </rowFields>
  <rowItems count="4">
    <i>
      <x/>
    </i>
    <i>
      <x v="1"/>
    </i>
    <i>
      <x v="2"/>
    </i>
    <i t="grand">
      <x/>
    </i>
  </rowItems>
  <colItems count="1">
    <i/>
  </colItems>
  <dataFields count="1">
    <dataField name="Count of EmployeeID" fld="0" subtotal="count" baseField="6" baseItem="0"/>
  </dataFields>
  <formats count="10">
    <format dxfId="111">
      <pivotArea type="all" dataOnly="0" outline="0" fieldPosition="0"/>
    </format>
    <format dxfId="110">
      <pivotArea outline="0" collapsedLevelsAreSubtotals="1" fieldPosition="0"/>
    </format>
    <format dxfId="109">
      <pivotArea field="4" type="button" dataOnly="0" labelOnly="1" outline="0"/>
    </format>
    <format dxfId="108">
      <pivotArea dataOnly="0" labelOnly="1" grandRow="1" outline="0" fieldPosition="0"/>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field="4" type="button" dataOnly="0" labelOnly="1" outline="0"/>
    </format>
    <format dxfId="103">
      <pivotArea dataOnly="0" labelOnly="1" grandRow="1" outline="0" fieldPosition="0"/>
    </format>
    <format dxfId="102">
      <pivotArea dataOnly="0" labelOnly="1" outline="0" axis="axisValues" fieldPosition="0"/>
    </format>
  </formats>
  <chartFormats count="1">
    <chartFormat chart="2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CAB16A5-CAD7-4741-BACD-5876E1FE956D}" name="Gender"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I1:J4" firstHeaderRow="1" firstDataRow="1" firstDataCol="1"/>
  <pivotFields count="30">
    <pivotField showAll="0"/>
    <pivotField showAll="0"/>
    <pivotField showAll="0">
      <items count="7">
        <item x="4"/>
        <item x="2"/>
        <item x="3"/>
        <item x="5"/>
        <item x="0"/>
        <item x="1"/>
        <item t="default"/>
      </items>
    </pivotField>
    <pivotField showAll="0"/>
    <pivotField axis="axisRow" dataField="1" showAll="0">
      <items count="5">
        <item m="1" x="3"/>
        <item m="1" x="2"/>
        <item x="0"/>
        <item x="1"/>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4"/>
  </rowFields>
  <rowItems count="3">
    <i>
      <x v="2"/>
    </i>
    <i>
      <x v="3"/>
    </i>
    <i t="grand">
      <x/>
    </i>
  </rowItems>
  <colItems count="1">
    <i/>
  </colItems>
  <dataFields count="1">
    <dataField name="Count of Gender" fld="4" subtotal="count" baseField="0" baseItem="0"/>
  </dataFields>
  <formats count="10">
    <format dxfId="27">
      <pivotArea type="all" dataOnly="0" outline="0" fieldPosition="0"/>
    </format>
    <format dxfId="28">
      <pivotArea outline="0" collapsedLevelsAreSubtotals="1" fieldPosition="0"/>
    </format>
    <format dxfId="29">
      <pivotArea field="4" type="button" dataOnly="0" labelOnly="1" outline="0" axis="axisRow" fieldPosition="0"/>
    </format>
    <format dxfId="30">
      <pivotArea dataOnly="0" labelOnly="1" grandRow="1" outline="0" fieldPosition="0"/>
    </format>
    <format dxfId="31">
      <pivotArea dataOnly="0" labelOnly="1" outline="0" axis="axisValues" fieldPosition="0"/>
    </format>
    <format dxfId="32">
      <pivotArea type="all" dataOnly="0" outline="0" fieldPosition="0"/>
    </format>
    <format dxfId="33">
      <pivotArea outline="0" collapsedLevelsAreSubtotals="1" fieldPosition="0"/>
    </format>
    <format dxfId="34">
      <pivotArea field="4" type="button" dataOnly="0" labelOnly="1" outline="0" axis="axisRow" fieldPosition="0"/>
    </format>
    <format dxfId="35">
      <pivotArea dataOnly="0" labelOnly="1" grandRow="1" outline="0" fieldPosition="0"/>
    </format>
    <format dxfId="36">
      <pivotArea dataOnly="0" labelOnly="1" outline="0" axis="axisValues" fieldPosition="0"/>
    </format>
  </formats>
  <chartFormats count="2">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9FD5309-2E0E-4A0D-BDA6-40E6CE5D9414}" name="Average of TrainingCost"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43:C50" firstHeaderRow="1" firstDataRow="1" firstDataCol="1" rowPageCount="1" colPageCount="1"/>
  <pivotFields count="30">
    <pivotField showAll="0"/>
    <pivotField showAll="0"/>
    <pivotField axis="axisRow" showAll="0" sortType="ascending">
      <items count="7">
        <item x="4"/>
        <item x="2"/>
        <item x="3"/>
        <item x="5"/>
        <item x="0"/>
        <item x="1"/>
        <item t="default"/>
      </items>
      <autoSortScope>
        <pivotArea dataOnly="0" outline="0" fieldPosition="0">
          <references count="1">
            <reference field="4294967294" count="1" selected="0">
              <x v="0"/>
            </reference>
          </references>
        </pivotArea>
      </autoSortScope>
    </pivotField>
    <pivotField showAll="0"/>
    <pivotField showAll="0">
      <items count="5">
        <item m="1" x="3"/>
        <item x="1"/>
        <item m="1" x="2"/>
        <item x="0"/>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showAll="0"/>
    <pivotField showAll="0"/>
    <pivotField showAll="0"/>
    <pivotField axis="axisPage" showAll="0">
      <items count="4">
        <item x="1"/>
        <item x="0"/>
        <item x="2"/>
        <item t="default"/>
      </items>
    </pivotField>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2"/>
  </rowFields>
  <rowItems count="7">
    <i>
      <x v="5"/>
    </i>
    <i>
      <x/>
    </i>
    <i>
      <x v="2"/>
    </i>
    <i>
      <x v="3"/>
    </i>
    <i>
      <x v="4"/>
    </i>
    <i>
      <x v="1"/>
    </i>
    <i t="grand">
      <x/>
    </i>
  </rowItems>
  <colItems count="1">
    <i/>
  </colItems>
  <pageFields count="1">
    <pageField fld="17" item="0" hier="-1"/>
  </pageFields>
  <dataFields count="1">
    <dataField name="Average of TrainingCost" fld="22" subtotal="average" baseField="2" baseItem="0"/>
  </dataFields>
  <formats count="7">
    <format dxfId="18">
      <pivotArea outline="0" collapsedLevelsAreSubtotals="1" fieldPosition="0"/>
    </format>
    <format dxfId="19">
      <pivotArea type="all" dataOnly="0" outline="0" fieldPosition="0"/>
    </format>
    <format dxfId="20">
      <pivotArea outline="0" collapsedLevelsAreSubtotals="1" fieldPosition="0"/>
    </format>
    <format dxfId="21">
      <pivotArea dataOnly="0" labelOnly="1" outline="0" axis="axisValues" fieldPosition="0"/>
    </format>
    <format dxfId="22">
      <pivotArea type="all" dataOnly="0" outline="0" fieldPosition="0"/>
    </format>
    <format dxfId="23">
      <pivotArea outline="0" collapsedLevelsAreSubtotals="1" fieldPosition="0"/>
    </format>
    <format dxfId="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98ADEEF-9E5C-4FFF-8B5F-4EC8FAEEC002}" name="Average of OvertimeHours by performance level"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B53:C57" firstHeaderRow="1" firstDataRow="1" firstDataCol="1"/>
  <pivotFields count="30">
    <pivotField showAll="0"/>
    <pivotField showAll="0"/>
    <pivotField showAll="0">
      <items count="7">
        <item x="4"/>
        <item x="2"/>
        <item x="3"/>
        <item x="5"/>
        <item x="0"/>
        <item x="1"/>
        <item t="default"/>
      </items>
    </pivotField>
    <pivotField showAll="0"/>
    <pivotField showAll="0">
      <items count="5">
        <item m="1" x="3"/>
        <item m="1" x="2"/>
        <item x="0"/>
        <item x="1"/>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1">
        <item sd="0" x="0"/>
        <item sd="0" x="1"/>
        <item sd="0" x="2"/>
        <item sd="0" x="3"/>
        <item sd="0" x="4"/>
        <item sd="0" x="5"/>
        <item sd="0" x="6"/>
        <item sd="0" x="7"/>
        <item sd="0" x="8"/>
        <item sd="0"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7"/>
  </rowFields>
  <rowItems count="4">
    <i>
      <x v="1"/>
    </i>
    <i>
      <x v="2"/>
    </i>
    <i>
      <x/>
    </i>
    <i t="grand">
      <x/>
    </i>
  </rowItems>
  <colItems count="1">
    <i/>
  </colItems>
  <dataFields count="1">
    <dataField name="Average of OvertimeHours" fld="20" subtotal="average" baseField="16" baseItem="0"/>
  </dataFields>
  <formats count="11">
    <format dxfId="122">
      <pivotArea type="all" dataOnly="0" outline="0" fieldPosition="0"/>
    </format>
    <format dxfId="121">
      <pivotArea outline="0" collapsedLevelsAreSubtotals="1" fieldPosition="0"/>
    </format>
    <format dxfId="120">
      <pivotArea field="4" type="button" dataOnly="0" labelOnly="1" outline="0"/>
    </format>
    <format dxfId="119">
      <pivotArea dataOnly="0" labelOnly="1" grandRow="1" outline="0" fieldPosition="0"/>
    </format>
    <format dxfId="118">
      <pivotArea dataOnly="0" labelOnly="1" outline="0" axis="axisValues" fieldPosition="0"/>
    </format>
    <format dxfId="117">
      <pivotArea type="all" dataOnly="0" outline="0" fieldPosition="0"/>
    </format>
    <format dxfId="116">
      <pivotArea outline="0" collapsedLevelsAreSubtotals="1" fieldPosition="0"/>
    </format>
    <format dxfId="115">
      <pivotArea field="4" type="button" dataOnly="0" labelOnly="1" outline="0"/>
    </format>
    <format dxfId="114">
      <pivotArea dataOnly="0" labelOnly="1" grandRow="1" outline="0" fieldPosition="0"/>
    </format>
    <format dxfId="113">
      <pivotArea dataOnly="0" labelOnly="1" outline="0" axis="axisValues" fieldPosition="0"/>
    </format>
    <format dxfId="112">
      <pivotArea collapsedLevelsAreSubtotals="1" fieldPosition="0">
        <references count="1">
          <reference field="17" count="0"/>
        </references>
      </pivotArea>
    </format>
  </formats>
  <chartFormats count="1">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2D143F3-4EDB-430F-A8B9-1A6871FC4185}" name="Average of Salary"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7:I8" firstHeaderRow="1" firstDataRow="1" firstDataCol="0"/>
  <pivotFields count="30">
    <pivotField showAll="0"/>
    <pivotField showAll="0"/>
    <pivotField showAll="0">
      <items count="7">
        <item x="4"/>
        <item x="2"/>
        <item x="3"/>
        <item x="5"/>
        <item x="0"/>
        <item x="1"/>
        <item t="default"/>
      </items>
    </pivotField>
    <pivotField showAll="0"/>
    <pivotField showAll="0">
      <items count="5">
        <item m="1" x="3"/>
        <item m="1" x="2"/>
        <item x="0"/>
        <item x="1"/>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Items count="1">
    <i/>
  </colItems>
  <dataFields count="1">
    <dataField name="Average of Salary" fld="14" subtotal="average" baseField="0" baseItem="0"/>
  </dataFields>
  <formats count="10">
    <format dxfId="132">
      <pivotArea type="all" dataOnly="0" outline="0" fieldPosition="0"/>
    </format>
    <format dxfId="131">
      <pivotArea outline="0" collapsedLevelsAreSubtotals="1" fieldPosition="0"/>
    </format>
    <format dxfId="130">
      <pivotArea field="4" type="button" dataOnly="0" labelOnly="1" outline="0"/>
    </format>
    <format dxfId="129">
      <pivotArea dataOnly="0" labelOnly="1" grandRow="1" outline="0" fieldPosition="0"/>
    </format>
    <format dxfId="128">
      <pivotArea dataOnly="0" labelOnly="1" outline="0" axis="axisValues" fieldPosition="0"/>
    </format>
    <format dxfId="127">
      <pivotArea type="all" dataOnly="0" outline="0" fieldPosition="0"/>
    </format>
    <format dxfId="126">
      <pivotArea outline="0" collapsedLevelsAreSubtotals="1" fieldPosition="0"/>
    </format>
    <format dxfId="125">
      <pivotArea field="4" type="button" dataOnly="0" labelOnly="1" outline="0"/>
    </format>
    <format dxfId="124">
      <pivotArea dataOnly="0" labelOnly="1" grandRow="1" outline="0" fieldPosition="0"/>
    </format>
    <format dxfId="1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AA93F21-ECFB-418C-B617-C2493FDD0EEA}" name="TrainingCost"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8:C29" firstHeaderRow="0" firstDataRow="1" firstDataCol="0"/>
  <pivotFields count="30">
    <pivotField dataField="1" showAll="0"/>
    <pivotField showAll="0"/>
    <pivotField showAll="0">
      <items count="7">
        <item x="4"/>
        <item x="2"/>
        <item x="3"/>
        <item x="5"/>
        <item x="0"/>
        <item x="1"/>
        <item t="default"/>
      </items>
    </pivotField>
    <pivotField showAll="0"/>
    <pivotField showAll="0">
      <items count="5">
        <item m="1" x="3"/>
        <item x="1"/>
        <item m="1" x="2"/>
        <item x="0"/>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Fields count="1">
    <field x="-2"/>
  </colFields>
  <colItems count="2">
    <i>
      <x/>
    </i>
    <i i="1">
      <x v="1"/>
    </i>
  </colItems>
  <dataFields count="2">
    <dataField name="Sum of TrainingCost" fld="22" baseField="0" baseItem="0"/>
    <dataField name="Count of EmployeeID" fld="0" subtotal="count" baseField="0" baseItem="1"/>
  </dataFields>
  <formats count="6">
    <format dxfId="138">
      <pivotArea type="all" dataOnly="0" outline="0" fieldPosition="0"/>
    </format>
    <format dxfId="137">
      <pivotArea outline="0" collapsedLevelsAreSubtotals="1" fieldPosition="0"/>
    </format>
    <format dxfId="136">
      <pivotArea dataOnly="0" labelOnly="1" outline="0" fieldPosition="0">
        <references count="1">
          <reference field="4294967294" count="2">
            <x v="0"/>
            <x v="1"/>
          </reference>
        </references>
      </pivotArea>
    </format>
    <format dxfId="135">
      <pivotArea type="all" dataOnly="0" outline="0" fieldPosition="0"/>
    </format>
    <format dxfId="134">
      <pivotArea outline="0" collapsedLevelsAreSubtotals="1" fieldPosition="0"/>
    </format>
    <format dxfId="13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2B87365-0E31-4A6B-A7A0-98578CEED168}" name="90-Day failure "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3:I24" firstHeaderRow="1" firstDataRow="1" firstDataCol="0" rowPageCount="1" colPageCount="1"/>
  <pivotFields count="30">
    <pivotField dataField="1" showAll="0"/>
    <pivotField showAll="0"/>
    <pivotField showAll="0">
      <items count="7">
        <item x="4"/>
        <item x="2"/>
        <item x="3"/>
        <item x="5"/>
        <item x="0"/>
        <item x="1"/>
        <item t="default"/>
      </items>
    </pivotField>
    <pivotField showAll="0"/>
    <pivotField showAll="0">
      <items count="5">
        <item m="1" x="3"/>
        <item m="1" x="2"/>
        <item x="0"/>
        <item x="1"/>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axis="axisPage" multipleItemSelectionAllowed="1" showAll="0">
      <items count="91">
        <item x="40"/>
        <item x="16"/>
        <item h="1" x="9"/>
        <item h="1" x="55"/>
        <item h="1" x="19"/>
        <item h="1" x="50"/>
        <item h="1" x="44"/>
        <item h="1" x="38"/>
        <item h="1" x="72"/>
        <item h="1" x="71"/>
        <item h="1" x="13"/>
        <item h="1" x="3"/>
        <item h="1" x="30"/>
        <item h="1" x="1"/>
        <item h="1" x="0"/>
        <item h="1" x="25"/>
        <item h="1" x="51"/>
        <item h="1" x="57"/>
        <item h="1" x="22"/>
        <item h="1" x="61"/>
        <item h="1" x="2"/>
        <item h="1" x="34"/>
        <item h="1" x="14"/>
        <item h="1" x="80"/>
        <item h="1" x="18"/>
        <item h="1" x="7"/>
        <item h="1" x="69"/>
        <item h="1" x="21"/>
        <item h="1" x="81"/>
        <item h="1" x="5"/>
        <item h="1" x="36"/>
        <item h="1" x="20"/>
        <item h="1" x="52"/>
        <item h="1" x="27"/>
        <item h="1" x="59"/>
        <item h="1" x="67"/>
        <item h="1" x="49"/>
        <item h="1" x="45"/>
        <item h="1" x="31"/>
        <item h="1" x="39"/>
        <item h="1" x="15"/>
        <item h="1" x="65"/>
        <item h="1" x="63"/>
        <item h="1" x="26"/>
        <item h="1" x="43"/>
        <item h="1" x="53"/>
        <item h="1" x="70"/>
        <item h="1" m="1" x="85"/>
        <item h="1" x="73"/>
        <item h="1" x="35"/>
        <item h="1" x="54"/>
        <item h="1" x="24"/>
        <item h="1" x="78"/>
        <item h="1" x="11"/>
        <item h="1" m="1" x="86"/>
        <item h="1" x="32"/>
        <item h="1" x="42"/>
        <item h="1" x="62"/>
        <item h="1" m="1" x="89"/>
        <item h="1" x="10"/>
        <item h="1" x="41"/>
        <item h="1" x="33"/>
        <item h="1" x="77"/>
        <item h="1" x="6"/>
        <item h="1" x="29"/>
        <item h="1" x="4"/>
        <item h="1" x="28"/>
        <item h="1" m="1" x="84"/>
        <item h="1" m="1" x="88"/>
        <item h="1" x="76"/>
        <item h="1" x="47"/>
        <item h="1" x="17"/>
        <item h="1" x="64"/>
        <item h="1" x="60"/>
        <item h="1" x="66"/>
        <item h="1" x="58"/>
        <item h="1" m="1" x="87"/>
        <item h="1" x="46"/>
        <item h="1" x="56"/>
        <item h="1" x="37"/>
        <item h="1" x="23"/>
        <item h="1" x="74"/>
        <item h="1" x="12"/>
        <item h="1" x="79"/>
        <item h="1" x="82"/>
        <item h="1" x="8"/>
        <item h="1" x="75"/>
        <item h="1" x="83"/>
        <item h="1" x="48"/>
        <item h="1" x="68"/>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Items count="1">
    <i/>
  </colItems>
  <pageFields count="1">
    <pageField fld="12" hier="-1"/>
  </pageFields>
  <dataFields count="1">
    <dataField name="Count of EmployeeID" fld="0" subtotal="count" baseField="11" baseItem="0"/>
  </dataFields>
  <formats count="10">
    <format dxfId="148">
      <pivotArea type="all" dataOnly="0" outline="0" fieldPosition="0"/>
    </format>
    <format dxfId="147">
      <pivotArea outline="0" collapsedLevelsAreSubtotals="1" fieldPosition="0"/>
    </format>
    <format dxfId="146">
      <pivotArea field="4" type="button" dataOnly="0" labelOnly="1" outline="0"/>
    </format>
    <format dxfId="145">
      <pivotArea dataOnly="0" labelOnly="1" grandRow="1" outline="0" fieldPosition="0"/>
    </format>
    <format dxfId="144">
      <pivotArea dataOnly="0" labelOnly="1" outline="0" axis="axisValues" fieldPosition="0"/>
    </format>
    <format dxfId="143">
      <pivotArea type="all" dataOnly="0" outline="0" fieldPosition="0"/>
    </format>
    <format dxfId="142">
      <pivotArea outline="0" collapsedLevelsAreSubtotals="1" fieldPosition="0"/>
    </format>
    <format dxfId="141">
      <pivotArea field="4" type="button" dataOnly="0" labelOnly="1" outline="0"/>
    </format>
    <format dxfId="140">
      <pivotArea dataOnly="0" labelOnly="1" grandRow="1" outline="0" fieldPosition="0"/>
    </format>
    <format dxfId="1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600671E-4DB5-48E5-84E1-3E876159F822}" name="Average of SatisfactionScore"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9:E20" firstHeaderRow="1" firstDataRow="1" firstDataCol="0"/>
  <pivotFields count="30">
    <pivotField showAll="0"/>
    <pivotField showAll="0"/>
    <pivotField showAll="0">
      <items count="7">
        <item x="4"/>
        <item x="2"/>
        <item x="3"/>
        <item x="5"/>
        <item x="0"/>
        <item x="1"/>
        <item t="default"/>
      </items>
    </pivotField>
    <pivotField showAll="0"/>
    <pivotField showAll="0">
      <items count="5">
        <item m="1" x="3"/>
        <item x="1"/>
        <item m="1" x="2"/>
        <item x="0"/>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Items count="1">
    <i/>
  </colItems>
  <dataFields count="1">
    <dataField name="Average of SatisfactionScore" fld="18" subtotal="average" baseField="0" baseItem="0"/>
  </dataFields>
  <formats count="6">
    <format dxfId="154">
      <pivotArea type="all" dataOnly="0" outline="0" fieldPosition="0"/>
    </format>
    <format dxfId="153">
      <pivotArea outline="0" collapsedLevelsAreSubtotals="1" fieldPosition="0"/>
    </format>
    <format dxfId="152">
      <pivotArea dataOnly="0" labelOnly="1" outline="0" axis="axisValues" fieldPosition="0"/>
    </format>
    <format dxfId="151">
      <pivotArea type="all" dataOnly="0" outline="0" fieldPosition="0"/>
    </format>
    <format dxfId="150">
      <pivotArea dataOnly="0" labelOnly="1" outline="0" axis="axisValues" fieldPosition="0"/>
    </format>
    <format dxfId="1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EC6CFBB-834D-41D1-9318-BDB9E25D03A8}" name="Average of AbsenceDays"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B8" firstHeaderRow="1" firstDataRow="1" firstDataCol="0"/>
  <pivotFields count="30">
    <pivotField showAll="0"/>
    <pivotField showAll="0"/>
    <pivotField showAll="0">
      <items count="7">
        <item x="4"/>
        <item x="2"/>
        <item x="3"/>
        <item x="5"/>
        <item x="0"/>
        <item x="1"/>
        <item t="default"/>
      </items>
    </pivotField>
    <pivotField showAll="0"/>
    <pivotField showAll="0">
      <items count="5">
        <item m="1" x="3"/>
        <item x="1"/>
        <item m="1" x="2"/>
        <item x="0"/>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Items count="1">
    <i/>
  </colItems>
  <dataFields count="1">
    <dataField name="Average of AbsenceDays" fld="13" subtotal="average" baseField="0" baseItem="0" numFmtId="1"/>
  </dataFields>
  <formats count="7">
    <format dxfId="161">
      <pivotArea outline="0" collapsedLevelsAreSubtotals="1" fieldPosition="0"/>
    </format>
    <format dxfId="160">
      <pivotArea type="all" dataOnly="0" outline="0" fieldPosition="0"/>
    </format>
    <format dxfId="159">
      <pivotArea outline="0" collapsedLevelsAreSubtotals="1" fieldPosition="0"/>
    </format>
    <format dxfId="158">
      <pivotArea dataOnly="0" labelOnly="1" outline="0" axis="axisValues" fieldPosition="0"/>
    </format>
    <format dxfId="157">
      <pivotArea type="all" dataOnly="0" outline="0" fieldPosition="0"/>
    </format>
    <format dxfId="156">
      <pivotArea outline="0" collapsedLevelsAreSubtotals="1" fieldPosition="0"/>
    </format>
    <format dxfId="15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12B42EAB-DBF2-43E3-B828-2B2BEF9A7594}" name="Average of Salary per department"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34:J41" firstHeaderRow="1" firstDataRow="1" firstDataCol="1"/>
  <pivotFields count="30">
    <pivotField showAll="0"/>
    <pivotField showAll="0"/>
    <pivotField axis="axisRow" showAll="0" sortType="descending">
      <items count="7">
        <item x="4"/>
        <item x="2"/>
        <item x="3"/>
        <item x="5"/>
        <item x="0"/>
        <item x="1"/>
        <item t="default"/>
      </items>
      <autoSortScope>
        <pivotArea dataOnly="0" outline="0" fieldPosition="0">
          <references count="1">
            <reference field="4294967294" count="1" selected="0">
              <x v="0"/>
            </reference>
          </references>
        </pivotArea>
      </autoSortScope>
    </pivotField>
    <pivotField showAll="0"/>
    <pivotField showAll="0">
      <items count="5">
        <item m="1" x="3"/>
        <item x="1"/>
        <item m="1" x="2"/>
        <item x="0"/>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2"/>
  </rowFields>
  <rowItems count="7">
    <i>
      <x/>
    </i>
    <i>
      <x v="2"/>
    </i>
    <i>
      <x v="4"/>
    </i>
    <i>
      <x v="3"/>
    </i>
    <i>
      <x v="5"/>
    </i>
    <i>
      <x v="1"/>
    </i>
    <i t="grand">
      <x/>
    </i>
  </rowItems>
  <colItems count="1">
    <i/>
  </colItems>
  <dataFields count="1">
    <dataField name="Average of Salary" fld="14" subtotal="average" baseField="2" baseItem="0"/>
  </dataFields>
  <formats count="7">
    <format dxfId="168">
      <pivotArea type="all" dataOnly="0" outline="0" fieldPosition="0"/>
    </format>
    <format dxfId="167">
      <pivotArea outline="0" collapsedLevelsAreSubtotals="1" fieldPosition="0"/>
    </format>
    <format dxfId="166">
      <pivotArea dataOnly="0" labelOnly="1" outline="0" axis="axisValues" fieldPosition="0"/>
    </format>
    <format dxfId="165">
      <pivotArea type="all" dataOnly="0" outline="0" fieldPosition="0"/>
    </format>
    <format dxfId="164">
      <pivotArea dataOnly="0" labelOnly="1" outline="0" axis="axisValues" fieldPosition="0"/>
    </format>
    <format dxfId="163">
      <pivotArea outline="0" collapsedLevelsAreSubtotals="1" fieldPosition="0"/>
    </format>
    <format dxfId="162">
      <pivotArea collapsedLevelsAreSubtotals="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2501A7F-2201-46F2-9EDF-28FBF97265AD}" name="SatisfactionScore rate"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9:C25" firstHeaderRow="1" firstDataRow="1" firstDataCol="1"/>
  <pivotFields count="30">
    <pivotField showAll="0"/>
    <pivotField showAll="0"/>
    <pivotField showAll="0">
      <items count="7">
        <item x="4"/>
        <item x="2"/>
        <item x="3"/>
        <item x="5"/>
        <item x="0"/>
        <item x="1"/>
        <item t="default"/>
      </items>
    </pivotField>
    <pivotField showAll="0"/>
    <pivotField showAll="0">
      <items count="5">
        <item m="1" x="3"/>
        <item x="1"/>
        <item m="1" x="2"/>
        <item x="0"/>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showAll="0"/>
    <pivotField showAll="0"/>
    <pivotField showAll="0"/>
    <pivotField showAll="0"/>
    <pivotField axis="axisRow" dataField="1" showAll="0">
      <items count="6">
        <item x="1"/>
        <item x="4"/>
        <item x="3"/>
        <item x="0"/>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8"/>
  </rowFields>
  <rowItems count="6">
    <i>
      <x/>
    </i>
    <i>
      <x v="1"/>
    </i>
    <i>
      <x v="2"/>
    </i>
    <i>
      <x v="3"/>
    </i>
    <i>
      <x v="4"/>
    </i>
    <i t="grand">
      <x/>
    </i>
  </rowItems>
  <colItems count="1">
    <i/>
  </colItems>
  <dataFields count="1">
    <dataField name="Count of SatisfactionScore" fld="18" subtotal="count" showDataAs="percentOfCol" baseField="17" baseItem="0" numFmtId="10"/>
  </dataFields>
  <formats count="12">
    <format dxfId="180">
      <pivotArea type="all" dataOnly="0" outline="0" fieldPosition="0"/>
    </format>
    <format dxfId="179">
      <pivotArea outline="0" collapsedLevelsAreSubtotals="1" fieldPosition="0"/>
    </format>
    <format dxfId="178">
      <pivotArea field="18" type="button" dataOnly="0" labelOnly="1" outline="0" axis="axisRow" fieldPosition="0"/>
    </format>
    <format dxfId="177">
      <pivotArea dataOnly="0" labelOnly="1" fieldPosition="0">
        <references count="1">
          <reference field="18" count="0"/>
        </references>
      </pivotArea>
    </format>
    <format dxfId="176">
      <pivotArea dataOnly="0" labelOnly="1" grandRow="1" outline="0" fieldPosition="0"/>
    </format>
    <format dxfId="175">
      <pivotArea dataOnly="0" labelOnly="1" outline="0" axis="axisValues" fieldPosition="0"/>
    </format>
    <format dxfId="174">
      <pivotArea type="all" dataOnly="0" outline="0" fieldPosition="0"/>
    </format>
    <format dxfId="173">
      <pivotArea outline="0" collapsedLevelsAreSubtotals="1" fieldPosition="0"/>
    </format>
    <format dxfId="172">
      <pivotArea field="18" type="button" dataOnly="0" labelOnly="1" outline="0" axis="axisRow" fieldPosition="0"/>
    </format>
    <format dxfId="171">
      <pivotArea dataOnly="0" labelOnly="1" fieldPosition="0">
        <references count="1">
          <reference field="18" count="0"/>
        </references>
      </pivotArea>
    </format>
    <format dxfId="170">
      <pivotArea dataOnly="0" labelOnly="1" grandRow="1" outline="0" fieldPosition="0"/>
    </format>
    <format dxfId="16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6C64D87-86DB-4A37-9EF5-CC00134AB662}" name=" Employees per daparment"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P19:Q26" firstHeaderRow="1" firstDataRow="1" firstDataCol="1"/>
  <pivotFields count="30">
    <pivotField showAll="0"/>
    <pivotField showAll="0"/>
    <pivotField axis="axisRow" showAll="0" sortType="ascending">
      <items count="7">
        <item x="4"/>
        <item x="2"/>
        <item x="3"/>
        <item x="5"/>
        <item x="0"/>
        <item x="1"/>
        <item t="default"/>
      </items>
      <autoSortScope>
        <pivotArea dataOnly="0" outline="0" fieldPosition="0">
          <references count="1">
            <reference field="4294967294" count="1" selected="0">
              <x v="0"/>
            </reference>
          </references>
        </pivotArea>
      </autoSortScope>
    </pivotField>
    <pivotField showAll="0"/>
    <pivotField showAll="0">
      <items count="5">
        <item m="1" x="3"/>
        <item x="1"/>
        <item m="1" x="2"/>
        <item x="0"/>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2"/>
  </rowFields>
  <rowItems count="7">
    <i>
      <x v="1"/>
    </i>
    <i>
      <x v="4"/>
    </i>
    <i>
      <x v="5"/>
    </i>
    <i>
      <x v="3"/>
    </i>
    <i>
      <x/>
    </i>
    <i>
      <x v="2"/>
    </i>
    <i t="grand">
      <x/>
    </i>
  </rowItems>
  <colItems count="1">
    <i/>
  </colItems>
  <dataFields count="1">
    <dataField name="Average of OvertimeHours" fld="20" subtotal="average" baseField="2" baseItem="0"/>
  </dataFields>
  <formats count="7">
    <format dxfId="37">
      <pivotArea outline="0" collapsedLevelsAreSubtotals="1" fieldPosition="0"/>
    </format>
    <format dxfId="38">
      <pivotArea type="all" dataOnly="0" outline="0" fieldPosition="0"/>
    </format>
    <format dxfId="39">
      <pivotArea outline="0" collapsedLevelsAreSubtotals="1" fieldPosition="0"/>
    </format>
    <format dxfId="40">
      <pivotArea dataOnly="0" labelOnly="1" outline="0" axis="axisValues" fieldPosition="0"/>
    </format>
    <format dxfId="41">
      <pivotArea type="all" dataOnly="0" outline="0" fieldPosition="0"/>
    </format>
    <format dxfId="42">
      <pivotArea outline="0" collapsedLevelsAreSubtotals="1" fieldPosition="0"/>
    </format>
    <format dxfId="43">
      <pivotArea dataOnly="0" labelOnly="1" outline="0" axis="axisValues" fieldPosition="0"/>
    </format>
  </formats>
  <chartFormats count="1">
    <chartFormat chart="1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00252E1-E194-4DD8-BB87-9FEED0E010B7}" name="retention &amp; turnover"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C4" firstHeaderRow="1" firstDataRow="1" firstDataCol="1"/>
  <pivotFields count="30">
    <pivotField dataField="1" showAll="0"/>
    <pivotField showAll="0"/>
    <pivotField showAll="0">
      <items count="7">
        <item x="4"/>
        <item x="2"/>
        <item x="3"/>
        <item x="5"/>
        <item x="0"/>
        <item x="1"/>
        <item t="default"/>
      </items>
    </pivotField>
    <pivotField showAll="0"/>
    <pivotField showAll="0">
      <items count="5">
        <item m="1" x="3"/>
        <item x="1"/>
        <item m="1" x="2"/>
        <item x="0"/>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axis="axisRow" showAll="0">
      <items count="3">
        <item x="0"/>
        <item x="1"/>
        <item t="default"/>
      </items>
    </pivotField>
    <pivotField showAll="0">
      <items count="9">
        <item x="5"/>
        <item x="0"/>
        <item x="4"/>
        <item x="2"/>
        <item x="6"/>
        <item x="3"/>
        <item x="1"/>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9"/>
  </rowFields>
  <rowItems count="3">
    <i>
      <x/>
    </i>
    <i>
      <x v="1"/>
    </i>
    <i t="grand">
      <x/>
    </i>
  </rowItems>
  <colItems count="1">
    <i/>
  </colItems>
  <dataFields count="1">
    <dataField name="Count of EmployeeID" fld="0" subtotal="count" showDataAs="percentOfCol" baseField="0" baseItem="0" numFmtId="10"/>
  </dataFields>
  <formats count="12">
    <format dxfId="192">
      <pivotArea type="all" dataOnly="0" outline="0" fieldPosition="0"/>
    </format>
    <format dxfId="191">
      <pivotArea outline="0" collapsedLevelsAreSubtotals="1" fieldPosition="0"/>
    </format>
    <format dxfId="190">
      <pivotArea field="9" type="button" dataOnly="0" labelOnly="1" outline="0" axis="axisRow" fieldPosition="0"/>
    </format>
    <format dxfId="189">
      <pivotArea dataOnly="0" labelOnly="1" fieldPosition="0">
        <references count="1">
          <reference field="9" count="0"/>
        </references>
      </pivotArea>
    </format>
    <format dxfId="188">
      <pivotArea dataOnly="0" labelOnly="1" grandRow="1" outline="0" fieldPosition="0"/>
    </format>
    <format dxfId="187">
      <pivotArea dataOnly="0" labelOnly="1" outline="0" axis="axisValues" fieldPosition="0"/>
    </format>
    <format dxfId="186">
      <pivotArea type="all" dataOnly="0" outline="0" fieldPosition="0"/>
    </format>
    <format dxfId="185">
      <pivotArea outline="0" collapsedLevelsAreSubtotals="1" fieldPosition="0"/>
    </format>
    <format dxfId="184">
      <pivotArea field="9" type="button" dataOnly="0" labelOnly="1" outline="0" axis="axisRow" fieldPosition="0"/>
    </format>
    <format dxfId="183">
      <pivotArea dataOnly="0" labelOnly="1" fieldPosition="0">
        <references count="1">
          <reference field="9" count="0"/>
        </references>
      </pivotArea>
    </format>
    <format dxfId="182">
      <pivotArea dataOnly="0" labelOnly="1" grandRow="1" outline="0" fieldPosition="0"/>
    </format>
    <format dxfId="18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A31C7C3-4FBD-49FC-9E7D-3C3BF8F86791}" name="Average of EngagementScore" cacheId="1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B16" firstHeaderRow="1" firstDataRow="1" firstDataCol="0"/>
  <pivotFields count="30">
    <pivotField showAll="0"/>
    <pivotField showAll="0"/>
    <pivotField showAll="0">
      <items count="7">
        <item x="4"/>
        <item x="2"/>
        <item x="3"/>
        <item x="5"/>
        <item x="0"/>
        <item x="1"/>
        <item t="default"/>
      </items>
    </pivotField>
    <pivotField showAll="0"/>
    <pivotField showAll="0">
      <items count="5">
        <item m="1" x="3"/>
        <item x="1"/>
        <item m="1" x="2"/>
        <item x="0"/>
        <item t="default"/>
      </items>
    </pivotField>
    <pivotField showAll="0"/>
    <pivotField showAll="0">
      <items count="4">
        <item x="0"/>
        <item x="1"/>
        <item x="2"/>
        <item t="default"/>
      </items>
    </pivotField>
    <pivotField numFmtId="14" showAll="0">
      <items count="195">
        <item x="13"/>
        <item x="145"/>
        <item x="162"/>
        <item x="28"/>
        <item x="183"/>
        <item x="102"/>
        <item x="50"/>
        <item x="86"/>
        <item x="132"/>
        <item x="182"/>
        <item x="121"/>
        <item x="115"/>
        <item x="87"/>
        <item x="138"/>
        <item x="67"/>
        <item x="18"/>
        <item x="170"/>
        <item x="92"/>
        <item x="114"/>
        <item x="33"/>
        <item x="118"/>
        <item x="153"/>
        <item x="134"/>
        <item x="99"/>
        <item x="48"/>
        <item x="152"/>
        <item x="110"/>
        <item x="184"/>
        <item x="19"/>
        <item x="128"/>
        <item x="24"/>
        <item x="45"/>
        <item x="163"/>
        <item x="159"/>
        <item x="68"/>
        <item x="164"/>
        <item x="0"/>
        <item x="156"/>
        <item x="127"/>
        <item x="146"/>
        <item x="139"/>
        <item x="35"/>
        <item x="4"/>
        <item x="88"/>
        <item x="36"/>
        <item x="95"/>
        <item x="6"/>
        <item x="165"/>
        <item x="83"/>
        <item x="66"/>
        <item x="69"/>
        <item x="41"/>
        <item x="193"/>
        <item x="59"/>
        <item x="124"/>
        <item x="106"/>
        <item x="10"/>
        <item x="179"/>
        <item x="177"/>
        <item x="178"/>
        <item x="103"/>
        <item x="76"/>
        <item x="60"/>
        <item x="150"/>
        <item x="57"/>
        <item x="54"/>
        <item x="40"/>
        <item x="25"/>
        <item x="91"/>
        <item x="186"/>
        <item x="192"/>
        <item x="12"/>
        <item x="23"/>
        <item x="169"/>
        <item x="71"/>
        <item x="29"/>
        <item x="79"/>
        <item x="130"/>
        <item x="155"/>
        <item x="188"/>
        <item x="43"/>
        <item x="144"/>
        <item x="167"/>
        <item x="141"/>
        <item x="137"/>
        <item x="143"/>
        <item x="131"/>
        <item x="7"/>
        <item x="151"/>
        <item x="154"/>
        <item x="105"/>
        <item x="2"/>
        <item x="78"/>
        <item x="62"/>
        <item x="113"/>
        <item x="168"/>
        <item x="135"/>
        <item x="97"/>
        <item x="49"/>
        <item x="51"/>
        <item x="160"/>
        <item x="120"/>
        <item x="32"/>
        <item x="109"/>
        <item x="89"/>
        <item x="161"/>
        <item x="94"/>
        <item x="111"/>
        <item x="15"/>
        <item x="17"/>
        <item x="82"/>
        <item x="53"/>
        <item x="123"/>
        <item x="117"/>
        <item x="133"/>
        <item x="39"/>
        <item x="64"/>
        <item x="70"/>
        <item x="171"/>
        <item x="22"/>
        <item x="74"/>
        <item x="116"/>
        <item x="166"/>
        <item x="189"/>
        <item x="63"/>
        <item x="96"/>
        <item x="142"/>
        <item x="176"/>
        <item x="93"/>
        <item x="38"/>
        <item x="85"/>
        <item x="157"/>
        <item x="77"/>
        <item x="125"/>
        <item x="73"/>
        <item x="158"/>
        <item x="46"/>
        <item x="190"/>
        <item x="5"/>
        <item x="108"/>
        <item x="84"/>
        <item x="180"/>
        <item x="112"/>
        <item x="47"/>
        <item x="80"/>
        <item x="9"/>
        <item x="185"/>
        <item x="148"/>
        <item x="14"/>
        <item x="27"/>
        <item x="20"/>
        <item x="172"/>
        <item x="101"/>
        <item x="174"/>
        <item x="147"/>
        <item x="175"/>
        <item x="136"/>
        <item x="61"/>
        <item x="55"/>
        <item x="107"/>
        <item x="122"/>
        <item x="16"/>
        <item x="187"/>
        <item x="42"/>
        <item x="34"/>
        <item x="119"/>
        <item x="173"/>
        <item x="126"/>
        <item x="129"/>
        <item x="100"/>
        <item x="104"/>
        <item x="26"/>
        <item x="191"/>
        <item x="98"/>
        <item x="90"/>
        <item x="72"/>
        <item x="8"/>
        <item x="140"/>
        <item x="75"/>
        <item x="30"/>
        <item x="81"/>
        <item x="52"/>
        <item x="58"/>
        <item x="31"/>
        <item x="11"/>
        <item x="21"/>
        <item x="1"/>
        <item x="37"/>
        <item x="44"/>
        <item x="56"/>
        <item x="149"/>
        <item x="3"/>
        <item x="181"/>
        <item x="65"/>
        <item t="default"/>
      </items>
    </pivotField>
    <pivotField showAll="0">
      <items count="39">
        <item x="6"/>
        <item x="31"/>
        <item x="22"/>
        <item x="11"/>
        <item x="36"/>
        <item x="26"/>
        <item x="0"/>
        <item x="13"/>
        <item x="32"/>
        <item x="35"/>
        <item x="37"/>
        <item x="34"/>
        <item x="10"/>
        <item x="14"/>
        <item x="12"/>
        <item x="17"/>
        <item x="19"/>
        <item x="33"/>
        <item x="7"/>
        <item x="30"/>
        <item x="18"/>
        <item x="16"/>
        <item x="5"/>
        <item x="25"/>
        <item x="20"/>
        <item x="28"/>
        <item x="29"/>
        <item x="21"/>
        <item x="4"/>
        <item x="9"/>
        <item x="23"/>
        <item x="2"/>
        <item x="24"/>
        <item x="15"/>
        <item x="8"/>
        <item x="3"/>
        <item x="27"/>
        <item x="1"/>
        <item t="default"/>
      </items>
    </pivotField>
    <pivotField showAll="0"/>
    <pivotField showAll="0">
      <items count="9">
        <item x="5"/>
        <item x="0"/>
        <item x="4"/>
        <item x="2"/>
        <item x="6"/>
        <item x="3"/>
        <item x="1"/>
        <item x="7"/>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Items count="1">
    <i/>
  </rowItems>
  <colItems count="1">
    <i/>
  </colItems>
  <dataFields count="1">
    <dataField name="Average of EngagementScore" fld="19" subtotal="average" baseField="0" baseItem="0"/>
  </dataFields>
  <formats count="6">
    <format dxfId="198">
      <pivotArea type="all" dataOnly="0" outline="0" fieldPosition="0"/>
    </format>
    <format dxfId="197">
      <pivotArea outline="0" collapsedLevelsAreSubtotals="1" fieldPosition="0"/>
    </format>
    <format dxfId="196">
      <pivotArea dataOnly="0" labelOnly="1" outline="0" axis="axisValues" fieldPosition="0"/>
    </format>
    <format dxfId="195">
      <pivotArea type="all" dataOnly="0" outline="0" fieldPosition="0"/>
    </format>
    <format dxfId="194">
      <pivotArea outline="0" collapsedLevelsAreSubtotals="1" fieldPosition="0"/>
    </format>
    <format dxfId="19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1" xr16:uid="{B3E7D5D5-AD5F-4165-B32C-2E02CE4F876B}" autoFormatId="16" applyNumberFormats="0" applyBorderFormats="0" applyFontFormats="0" applyPatternFormats="0" applyAlignmentFormats="0" applyWidthHeightFormats="0">
  <queryTableRefresh nextId="3">
    <queryTableFields count="2">
      <queryTableField id="1" name="Name" tableColumnId="1"/>
      <queryTableField id="2" name="correct gender"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F373D65C-D8BA-4262-A0A6-FF3F7DD3BD6F}" autoFormatId="16" applyNumberFormats="0" applyBorderFormats="0" applyFontFormats="0" applyPatternFormats="0" applyAlignmentFormats="0" applyWidthHeightFormats="0">
  <queryTableRefresh nextId="28">
    <queryTableFields count="24">
      <queryTableField id="1" name="EmployeeID" tableColumnId="1"/>
      <queryTableField id="2" name="Name" tableColumnId="2"/>
      <queryTableField id="3" name="Department" tableColumnId="3"/>
      <queryTableField id="4" name="JobRole" tableColumnId="4"/>
      <queryTableField id="5" name="Gender" tableColumnId="5"/>
      <queryTableField id="6" name="Age" tableColumnId="6"/>
      <queryTableField id="7" name="Age Category" tableColumnId="7"/>
      <queryTableField id="8" name="HireDate" tableColumnId="8"/>
      <queryTableField id="9" name="ExitDate" tableColumnId="9"/>
      <queryTableField id="10" name="ExitStatus" tableColumnId="10"/>
      <queryTableField id="24" name="Year" tableColumnId="24"/>
      <queryTableField id="11" name="AttendanceDays" tableColumnId="11"/>
      <queryTableField id="12" name="AttendanceMonths" tableColumnId="12"/>
      <queryTableField id="13" name="AbsenceDays" tableColumnId="13"/>
      <queryTableField id="14" name="Salary" tableColumnId="14"/>
      <queryTableField id="15" name="Salary Category" tableColumnId="15"/>
      <queryTableField id="16" name="PerformanceScore" tableColumnId="16"/>
      <queryTableField id="17" name="PerformanceCategory" tableColumnId="17"/>
      <queryTableField id="18" name="SatisfactionScore" tableColumnId="18"/>
      <queryTableField id="19" name="EngagementScore" tableColumnId="19"/>
      <queryTableField id="20" name="OvertimeHours" tableColumnId="20"/>
      <queryTableField id="21" name="TrainingHours" tableColumnId="21"/>
      <queryTableField id="22" name="TrainingCost" tableColumnId="22"/>
      <queryTableField id="23" name="TrainingEfficiency"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7FECC3D-6856-442E-A427-C6ED1E35A809}" sourceName="Department">
  <pivotTables>
    <pivotTable tabId="6" name="Department"/>
    <pivotTable tabId="6" name="Average of AbsenceDays"/>
    <pivotTable tabId="6" name="Average of EngagementScore"/>
    <pivotTable tabId="6" name="Average of OvertimeHours"/>
    <pivotTable tabId="6" name="Average of Salary"/>
    <pivotTable tabId="6" name="Average of SatisfactionScore"/>
    <pivotTable tabId="6" name="Gender"/>
    <pivotTable tabId="6" name="retention &amp; turnover"/>
    <pivotTable tabId="6" name="SatisfactionScore rate"/>
    <pivotTable tabId="6" name="TrainingCost"/>
    <pivotTable tabId="6" name="90-Day failure "/>
    <pivotTable tabId="6" name="Count of EngagementScore"/>
    <pivotTable tabId="6" name="AbsenceDays per dapartment"/>
    <pivotTable tabId="6" name="Average of TrainingCost"/>
    <pivotTable tabId="6" name=" Employees per daparment"/>
    <pivotTable tabId="6" name="Count of EmployeeID &amp; age"/>
    <pivotTable tabId="6" name="Average of OvertimeHours by performance level"/>
    <pivotTable tabId="6" name="leavers by year"/>
    <pivotTable tabId="6" name="Average of Salary per department"/>
    <pivotTable tabId="6" name="Average Years of Service by Department"/>
    <pivotTable tabId="6" name="leavers by year per department"/>
    <pivotTable tabId="6" name="PivotTable25"/>
  </pivotTables>
  <data>
    <tabular pivotCacheId="1207948578">
      <items count="6">
        <i x="4" s="1"/>
        <i x="2" s="1"/>
        <i x="3" s="1"/>
        <i x="5"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6E301A04-EFB1-47DC-A187-947E78014515}" sourceName="Age Category">
  <pivotTables>
    <pivotTable tabId="6" name="Average of Salary"/>
    <pivotTable tabId="6" name="Average of AbsenceDays"/>
    <pivotTable tabId="6" name="Average of EngagementScore"/>
    <pivotTable tabId="6" name="Average of OvertimeHours"/>
    <pivotTable tabId="6" name="Average of SatisfactionScore"/>
    <pivotTable tabId="6" name="Gender"/>
    <pivotTable tabId="6" name="Department"/>
    <pivotTable tabId="6" name="retention &amp; turnover"/>
    <pivotTable tabId="6" name="SatisfactionScore rate"/>
    <pivotTable tabId="6" name="TrainingCost"/>
    <pivotTable tabId="6" name="90-Day failure "/>
    <pivotTable tabId="6" name="Count of EngagementScore"/>
    <pivotTable tabId="6" name="AbsenceDays per dapartment"/>
    <pivotTable tabId="6" name="Average of TrainingCost"/>
    <pivotTable tabId="6" name=" Employees per daparment"/>
    <pivotTable tabId="6" name="Count of EmployeeID &amp; age"/>
    <pivotTable tabId="6" name="Average of OvertimeHours by performance level"/>
    <pivotTable tabId="6" name="leavers by year"/>
    <pivotTable tabId="6" name="Average of Salary per department"/>
    <pivotTable tabId="6" name="Average Years of Service by Department"/>
    <pivotTable tabId="6" name="leavers by year per department"/>
    <pivotTable tabId="6" name="PivotTable25"/>
  </pivotTables>
  <data>
    <tabular pivotCacheId="120794857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C13D000-FD53-4743-B8AC-31638C21DB76}" sourceName="Gender">
  <pivotTables>
    <pivotTable tabId="6" name="Average of Salary"/>
    <pivotTable tabId="6" name="Average of AbsenceDays"/>
    <pivotTable tabId="6" name="Average of EngagementScore"/>
    <pivotTable tabId="6" name="Average of OvertimeHours"/>
    <pivotTable tabId="6" name="Average of SatisfactionScore"/>
    <pivotTable tabId="6" name="Gender"/>
    <pivotTable tabId="6" name="Department"/>
    <pivotTable tabId="6" name="retention &amp; turnover"/>
    <pivotTable tabId="6" name="SatisfactionScore rate"/>
    <pivotTable tabId="6" name="TrainingCost"/>
    <pivotTable tabId="6" name="90-Day failure "/>
    <pivotTable tabId="6" name="Count of EngagementScore"/>
    <pivotTable tabId="6" name="AbsenceDays per dapartment"/>
    <pivotTable tabId="6" name="Average of TrainingCost"/>
    <pivotTable tabId="6" name=" Employees per daparment"/>
    <pivotTable tabId="6" name="Count of EmployeeID &amp; age"/>
    <pivotTable tabId="6" name="Average of OvertimeHours by performance level"/>
    <pivotTable tabId="6" name="leavers by year"/>
    <pivotTable tabId="6" name="Average of Salary per department"/>
    <pivotTable tabId="6" name="Average Years of Service by Department"/>
    <pivotTable tabId="6" name="leavers by year per department"/>
    <pivotTable tabId="6" name="PivotTable25"/>
  </pivotTables>
  <data>
    <tabular pivotCacheId="1207948578">
      <items count="4">
        <i x="1" s="1"/>
        <i x="0" s="1"/>
        <i x="3" s="1" nd="1"/>
        <i x="2"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C88D2BA-7BDC-48DC-8D1A-6760170AC112}" sourceName="Year">
  <pivotTables>
    <pivotTable tabId="6" name="Count of EngagementScore"/>
    <pivotTable tabId="6" name="90-Day failure "/>
    <pivotTable tabId="6" name="AbsenceDays per dapartment"/>
    <pivotTable tabId="6" name="Average of AbsenceDays"/>
    <pivotTable tabId="6" name="Average of EngagementScore"/>
    <pivotTable tabId="6" name="Average of OvertimeHours"/>
    <pivotTable tabId="6" name="Average of Salary"/>
    <pivotTable tabId="6" name="Average of Salary per department"/>
    <pivotTable tabId="6" name="Average of SatisfactionScore"/>
    <pivotTable tabId="6" name="Average of TrainingCost"/>
    <pivotTable tabId="6" name="Average Years of Service by Department"/>
    <pivotTable tabId="6" name="Count of EmployeeID &amp; age"/>
    <pivotTable tabId="6" name="Department"/>
    <pivotTable tabId="6" name="Gender"/>
    <pivotTable tabId="6" name="Average of OvertimeHours by performance level"/>
    <pivotTable tabId="6" name="retention &amp; turnover"/>
    <pivotTable tabId="6" name="SatisfactionScore rate"/>
    <pivotTable tabId="6" name="TrainingCost"/>
    <pivotTable tabId="6" name=" Employees per daparment"/>
    <pivotTable tabId="6" name="leavers by year"/>
    <pivotTable tabId="6" name="leavers by year per department"/>
    <pivotTable tabId="6" name="PivotTable25"/>
  </pivotTables>
  <data>
    <tabular pivotCacheId="1207948578">
      <items count="8">
        <i x="5" s="1"/>
        <i x="0" s="1"/>
        <i x="4" s="1"/>
        <i x="2" s="1"/>
        <i x="6" s="1"/>
        <i x="3" s="1"/>
        <i x="1"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88FD22D3-2731-4727-B502-4EDEEA54CEC0}" cache="Slicer_Department" caption="Department" columnCount="2" style="SlicerStyleDark1" rowHeight="246888"/>
  <slicer name="Age Category 2" xr10:uid="{86CDF7EE-2B4F-4DD3-9363-426D72923C6E}" cache="Slicer_Age_Category" caption="Age Category" style="SlicerStyleDark1" rowHeight="246888"/>
  <slicer name="Gender 2" xr10:uid="{C2C06105-9921-41C2-8A01-F8A8E08A108B}" cache="Slicer_Gender" caption="Gender" columnCount="2" style="SlicerStyleDark1" rowHeight="246888"/>
  <slicer name="Year 2" xr10:uid="{53067267-A574-41A8-AA47-664EE1C85465}" cache="Slicer_Year" caption="Year" columnCount="2" style="SlicerStyleDark1" rowHeight="246888"/>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3" xr10:uid="{DAF06D9B-7095-439A-BFEF-8B95ABDA0E29}" cache="Slicer_Department" caption="Department" columnCount="2" style="SlicerStyleDark1" rowHeight="246888"/>
  <slicer name="Age Category 3" xr10:uid="{991574BF-5684-4143-B53E-08CD14D94E1F}" cache="Slicer_Age_Category" caption="Age Category" style="SlicerStyleDark1" rowHeight="246888"/>
  <slicer name="Gender 3" xr10:uid="{C675078D-FAEF-4120-B783-D6643AB36B72}" cache="Slicer_Gender" caption="Gender" columnCount="2" style="SlicerStyleDark1" rowHeight="246888"/>
  <slicer name="Year 1" xr10:uid="{21546211-0B0D-4554-AF7D-27A4658AF9E7}" cache="Slicer_Year" caption="Year" columnCount="2" style="SlicerStyleDark1" rowHeight="24688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07A65B-A39A-4FE2-B9DD-1BD369E0490B}" name="Correct_Gender" displayName="Correct_Gender" ref="A1:B121" tableType="queryTable" totalsRowShown="0">
  <autoFilter ref="A1:B121" xr:uid="{F907A65B-A39A-4FE2-B9DD-1BD369E0490B}"/>
  <tableColumns count="2">
    <tableColumn id="1" xr3:uid="{9F7DC0B7-3EC7-4EEC-87BF-2E200D0ABE66}" uniqueName="1" name="Name" queryTableFieldId="1" dataDxfId="204"/>
    <tableColumn id="2" xr3:uid="{5A82ACC8-C652-40B3-99D2-631A0239FEFA}" uniqueName="2" name="correct gender" queryTableFieldId="2" dataDxfId="20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FD450C8-DFC3-4CA6-B7F8-FC817B2A8265}" name="full_row_data" displayName="full_row_data" ref="A1:X201" tableType="queryTable" totalsRowShown="0">
  <autoFilter ref="A1:X201" xr:uid="{6FD450C8-DFC3-4CA6-B7F8-FC817B2A8265}"/>
  <tableColumns count="24">
    <tableColumn id="1" xr3:uid="{FB300919-071C-414F-A0AF-4C908737D355}" uniqueName="1" name="EmployeeID" queryTableFieldId="1"/>
    <tableColumn id="2" xr3:uid="{929E0E6A-A9D6-4D02-B2CA-48D64E929BF4}" uniqueName="2" name="Name" queryTableFieldId="2" dataDxfId="202"/>
    <tableColumn id="3" xr3:uid="{CC443F95-984F-46F9-B174-963CC085102C}" uniqueName="3" name="Department" queryTableFieldId="3" dataDxfId="201"/>
    <tableColumn id="4" xr3:uid="{EA9FA9F8-8727-42AC-B27C-F2C8CDD1D84C}" uniqueName="4" name="JobRole" queryTableFieldId="4" dataDxfId="200"/>
    <tableColumn id="5" xr3:uid="{85B07CA5-B3B9-4BB6-A764-DD9BAE76C2E0}" uniqueName="5" name="Gender" queryTableFieldId="5" dataDxfId="199"/>
    <tableColumn id="6" xr3:uid="{E8554942-1425-4ED7-82A0-CF1DC9D10998}" uniqueName="6" name="Age" queryTableFieldId="6"/>
    <tableColumn id="7" xr3:uid="{847274F3-2155-4520-9127-4D2A96F45585}" uniqueName="7" name="Age Category" queryTableFieldId="7"/>
    <tableColumn id="8" xr3:uid="{32BC550E-026A-41BE-BD4B-FA0F4CEC8CE4}" uniqueName="8" name="HireDate" queryTableFieldId="8" dataDxfId="26"/>
    <tableColumn id="9" xr3:uid="{679BAD4E-B3A8-4DBB-81FD-CED8145914C6}" uniqueName="9" name="ExitDate" queryTableFieldId="9" dataDxfId="25"/>
    <tableColumn id="10" xr3:uid="{D05B6CDB-F5E4-454D-9C56-BD1B34B8EA02}" uniqueName="10" name="ExitStatus" queryTableFieldId="10"/>
    <tableColumn id="24" xr3:uid="{99C3AC8E-CF85-4C47-9153-4700D49AA4DF}" uniqueName="24" name="Year" queryTableFieldId="24"/>
    <tableColumn id="11" xr3:uid="{C0AEDAE4-3F9A-43EB-81D1-28B4F3D75996}" uniqueName="11" name="AttendanceDays" queryTableFieldId="11"/>
    <tableColumn id="12" xr3:uid="{7ECBD378-3C45-4154-A062-BD762836BED7}" uniqueName="12" name="AttendanceMonths" queryTableFieldId="12"/>
    <tableColumn id="13" xr3:uid="{82B8AE0B-E337-43DB-AB26-A7777A751618}" uniqueName="13" name="AbsenceDays" queryTableFieldId="13"/>
    <tableColumn id="14" xr3:uid="{5AE01007-37BD-44C0-8871-CEAC6A6A905E}" uniqueName="14" name="Salary" queryTableFieldId="14"/>
    <tableColumn id="15" xr3:uid="{D75470C5-34F4-4BEF-A3D6-F7239D07D7FF}" uniqueName="15" name="Salary Category" queryTableFieldId="15"/>
    <tableColumn id="16" xr3:uid="{5CDE8263-7667-4307-AB55-CFDC4E56665B}" uniqueName="16" name="PerformanceScore" queryTableFieldId="16"/>
    <tableColumn id="17" xr3:uid="{6CD9A979-197F-4190-B05F-E12FC3AC953F}" uniqueName="17" name="PerformanceCategory" queryTableFieldId="17"/>
    <tableColumn id="18" xr3:uid="{E3985AEC-CFF1-43B8-AFFD-8005D3D4D295}" uniqueName="18" name="SatisfactionScore" queryTableFieldId="18"/>
    <tableColumn id="19" xr3:uid="{19211232-8E5D-416E-A75E-D13D25A43F74}" uniqueName="19" name="EngagementScore" queryTableFieldId="19"/>
    <tableColumn id="20" xr3:uid="{658B48A8-DFEC-42EE-AC2E-995D06207EB5}" uniqueName="20" name="OvertimeHours" queryTableFieldId="20"/>
    <tableColumn id="21" xr3:uid="{D5F424B9-986E-402D-8480-71CEBA485E56}" uniqueName="21" name="TrainingHours" queryTableFieldId="21"/>
    <tableColumn id="22" xr3:uid="{96C10B97-7759-4BBD-BE7B-8E9BB437610F}" uniqueName="22" name="TrainingCost" queryTableFieldId="22"/>
    <tableColumn id="23" xr3:uid="{F652BA69-D22D-452C-8FE7-9C8D71711955}" uniqueName="23" name="TrainingEfficiency" queryTableFieldId="2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34E75-FB86-460B-967A-7B9F35713643}">
  <sheetPr>
    <tabColor theme="7" tint="0.59999389629810485"/>
  </sheetPr>
  <dimension ref="A1:B121"/>
  <sheetViews>
    <sheetView workbookViewId="0">
      <selection activeCell="F25" sqref="F25"/>
    </sheetView>
  </sheetViews>
  <sheetFormatPr defaultRowHeight="14.4" x14ac:dyDescent="0.3"/>
  <cols>
    <col min="1" max="1" width="17.5546875" bestFit="1" customWidth="1"/>
    <col min="2" max="2" width="15.33203125" bestFit="1" customWidth="1"/>
  </cols>
  <sheetData>
    <row r="1" spans="1:2" x14ac:dyDescent="0.3">
      <c r="A1" t="s">
        <v>1</v>
      </c>
      <c r="B1" t="s">
        <v>200</v>
      </c>
    </row>
    <row r="2" spans="1:2" x14ac:dyDescent="0.3">
      <c r="A2" t="s">
        <v>16</v>
      </c>
      <c r="B2" t="s">
        <v>201</v>
      </c>
    </row>
    <row r="3" spans="1:2" x14ac:dyDescent="0.3">
      <c r="A3" t="s">
        <v>19</v>
      </c>
      <c r="B3" t="s">
        <v>202</v>
      </c>
    </row>
    <row r="4" spans="1:2" x14ac:dyDescent="0.3">
      <c r="A4" t="s">
        <v>22</v>
      </c>
      <c r="B4" t="s">
        <v>201</v>
      </c>
    </row>
    <row r="5" spans="1:2" x14ac:dyDescent="0.3">
      <c r="A5" t="s">
        <v>25</v>
      </c>
      <c r="B5" t="s">
        <v>202</v>
      </c>
    </row>
    <row r="6" spans="1:2" x14ac:dyDescent="0.3">
      <c r="A6" t="s">
        <v>26</v>
      </c>
      <c r="B6" t="s">
        <v>202</v>
      </c>
    </row>
    <row r="7" spans="1:2" x14ac:dyDescent="0.3">
      <c r="A7" t="s">
        <v>29</v>
      </c>
      <c r="B7" t="s">
        <v>201</v>
      </c>
    </row>
    <row r="8" spans="1:2" x14ac:dyDescent="0.3">
      <c r="A8" t="s">
        <v>31</v>
      </c>
      <c r="B8" t="s">
        <v>202</v>
      </c>
    </row>
    <row r="9" spans="1:2" x14ac:dyDescent="0.3">
      <c r="A9" t="s">
        <v>161</v>
      </c>
      <c r="B9" t="s">
        <v>201</v>
      </c>
    </row>
    <row r="10" spans="1:2" x14ac:dyDescent="0.3">
      <c r="A10" t="s">
        <v>162</v>
      </c>
      <c r="B10" t="s">
        <v>202</v>
      </c>
    </row>
    <row r="11" spans="1:2" x14ac:dyDescent="0.3">
      <c r="A11" t="s">
        <v>34</v>
      </c>
      <c r="B11" t="s">
        <v>201</v>
      </c>
    </row>
    <row r="12" spans="1:2" x14ac:dyDescent="0.3">
      <c r="A12" t="s">
        <v>37</v>
      </c>
      <c r="B12" t="s">
        <v>202</v>
      </c>
    </row>
    <row r="13" spans="1:2" x14ac:dyDescent="0.3">
      <c r="A13" t="s">
        <v>38</v>
      </c>
      <c r="B13" t="s">
        <v>201</v>
      </c>
    </row>
    <row r="14" spans="1:2" x14ac:dyDescent="0.3">
      <c r="A14" t="s">
        <v>163</v>
      </c>
      <c r="B14" t="s">
        <v>202</v>
      </c>
    </row>
    <row r="15" spans="1:2" x14ac:dyDescent="0.3">
      <c r="A15" t="s">
        <v>40</v>
      </c>
      <c r="B15" t="s">
        <v>202</v>
      </c>
    </row>
    <row r="16" spans="1:2" x14ac:dyDescent="0.3">
      <c r="A16" t="s">
        <v>41</v>
      </c>
      <c r="B16" t="s">
        <v>202</v>
      </c>
    </row>
    <row r="17" spans="1:2" x14ac:dyDescent="0.3">
      <c r="A17" t="s">
        <v>43</v>
      </c>
      <c r="B17" t="s">
        <v>202</v>
      </c>
    </row>
    <row r="18" spans="1:2" x14ac:dyDescent="0.3">
      <c r="A18" t="s">
        <v>45</v>
      </c>
      <c r="B18" t="s">
        <v>201</v>
      </c>
    </row>
    <row r="19" spans="1:2" x14ac:dyDescent="0.3">
      <c r="A19" t="s">
        <v>164</v>
      </c>
      <c r="B19" t="s">
        <v>202</v>
      </c>
    </row>
    <row r="20" spans="1:2" x14ac:dyDescent="0.3">
      <c r="A20" t="s">
        <v>165</v>
      </c>
      <c r="B20" t="s">
        <v>202</v>
      </c>
    </row>
    <row r="21" spans="1:2" x14ac:dyDescent="0.3">
      <c r="A21" t="s">
        <v>47</v>
      </c>
      <c r="B21" t="s">
        <v>202</v>
      </c>
    </row>
    <row r="22" spans="1:2" x14ac:dyDescent="0.3">
      <c r="A22" t="s">
        <v>48</v>
      </c>
      <c r="B22" t="s">
        <v>202</v>
      </c>
    </row>
    <row r="23" spans="1:2" x14ac:dyDescent="0.3">
      <c r="A23" t="s">
        <v>50</v>
      </c>
      <c r="B23" t="s">
        <v>202</v>
      </c>
    </row>
    <row r="24" spans="1:2" x14ac:dyDescent="0.3">
      <c r="A24" t="s">
        <v>51</v>
      </c>
      <c r="B24" t="s">
        <v>202</v>
      </c>
    </row>
    <row r="25" spans="1:2" x14ac:dyDescent="0.3">
      <c r="A25" t="s">
        <v>52</v>
      </c>
      <c r="B25" t="s">
        <v>201</v>
      </c>
    </row>
    <row r="26" spans="1:2" x14ac:dyDescent="0.3">
      <c r="A26" t="s">
        <v>54</v>
      </c>
      <c r="B26" t="s">
        <v>201</v>
      </c>
    </row>
    <row r="27" spans="1:2" x14ac:dyDescent="0.3">
      <c r="A27" t="s">
        <v>55</v>
      </c>
      <c r="B27" t="s">
        <v>201</v>
      </c>
    </row>
    <row r="28" spans="1:2" x14ac:dyDescent="0.3">
      <c r="A28" t="s">
        <v>57</v>
      </c>
      <c r="B28" t="s">
        <v>201</v>
      </c>
    </row>
    <row r="29" spans="1:2" x14ac:dyDescent="0.3">
      <c r="A29" t="s">
        <v>58</v>
      </c>
      <c r="B29" t="s">
        <v>201</v>
      </c>
    </row>
    <row r="30" spans="1:2" x14ac:dyDescent="0.3">
      <c r="A30" t="s">
        <v>59</v>
      </c>
      <c r="B30" t="s">
        <v>202</v>
      </c>
    </row>
    <row r="31" spans="1:2" x14ac:dyDescent="0.3">
      <c r="A31" t="s">
        <v>60</v>
      </c>
      <c r="B31" t="s">
        <v>201</v>
      </c>
    </row>
    <row r="32" spans="1:2" x14ac:dyDescent="0.3">
      <c r="A32" t="s">
        <v>61</v>
      </c>
      <c r="B32" t="s">
        <v>201</v>
      </c>
    </row>
    <row r="33" spans="1:2" x14ac:dyDescent="0.3">
      <c r="A33" t="s">
        <v>166</v>
      </c>
      <c r="B33" t="s">
        <v>202</v>
      </c>
    </row>
    <row r="34" spans="1:2" x14ac:dyDescent="0.3">
      <c r="A34" t="s">
        <v>167</v>
      </c>
      <c r="B34" t="s">
        <v>201</v>
      </c>
    </row>
    <row r="35" spans="1:2" x14ac:dyDescent="0.3">
      <c r="A35" t="s">
        <v>62</v>
      </c>
      <c r="B35" t="s">
        <v>202</v>
      </c>
    </row>
    <row r="36" spans="1:2" x14ac:dyDescent="0.3">
      <c r="A36" t="s">
        <v>168</v>
      </c>
      <c r="B36" t="s">
        <v>202</v>
      </c>
    </row>
    <row r="37" spans="1:2" x14ac:dyDescent="0.3">
      <c r="A37" t="s">
        <v>169</v>
      </c>
      <c r="B37" t="s">
        <v>201</v>
      </c>
    </row>
    <row r="38" spans="1:2" x14ac:dyDescent="0.3">
      <c r="A38" t="s">
        <v>63</v>
      </c>
      <c r="B38" t="s">
        <v>202</v>
      </c>
    </row>
    <row r="39" spans="1:2" x14ac:dyDescent="0.3">
      <c r="A39" t="s">
        <v>64</v>
      </c>
      <c r="B39" t="s">
        <v>201</v>
      </c>
    </row>
    <row r="40" spans="1:2" x14ac:dyDescent="0.3">
      <c r="A40" t="s">
        <v>65</v>
      </c>
      <c r="B40" t="s">
        <v>201</v>
      </c>
    </row>
    <row r="41" spans="1:2" x14ac:dyDescent="0.3">
      <c r="A41" t="s">
        <v>170</v>
      </c>
      <c r="B41" t="s">
        <v>202</v>
      </c>
    </row>
    <row r="42" spans="1:2" x14ac:dyDescent="0.3">
      <c r="A42" t="s">
        <v>66</v>
      </c>
      <c r="B42" t="s">
        <v>202</v>
      </c>
    </row>
    <row r="43" spans="1:2" x14ac:dyDescent="0.3">
      <c r="A43" t="s">
        <v>171</v>
      </c>
      <c r="B43" t="s">
        <v>201</v>
      </c>
    </row>
    <row r="44" spans="1:2" x14ac:dyDescent="0.3">
      <c r="A44" t="s">
        <v>67</v>
      </c>
      <c r="B44" t="s">
        <v>202</v>
      </c>
    </row>
    <row r="45" spans="1:2" x14ac:dyDescent="0.3">
      <c r="A45" t="s">
        <v>172</v>
      </c>
      <c r="B45" t="s">
        <v>201</v>
      </c>
    </row>
    <row r="46" spans="1:2" x14ac:dyDescent="0.3">
      <c r="A46" t="s">
        <v>68</v>
      </c>
      <c r="B46" t="s">
        <v>201</v>
      </c>
    </row>
    <row r="47" spans="1:2" x14ac:dyDescent="0.3">
      <c r="A47" t="s">
        <v>69</v>
      </c>
      <c r="B47" t="s">
        <v>202</v>
      </c>
    </row>
    <row r="48" spans="1:2" x14ac:dyDescent="0.3">
      <c r="A48" t="s">
        <v>70</v>
      </c>
      <c r="B48" t="s">
        <v>201</v>
      </c>
    </row>
    <row r="49" spans="1:2" x14ac:dyDescent="0.3">
      <c r="A49" t="s">
        <v>72</v>
      </c>
      <c r="B49" t="s">
        <v>201</v>
      </c>
    </row>
    <row r="50" spans="1:2" x14ac:dyDescent="0.3">
      <c r="A50" t="s">
        <v>73</v>
      </c>
      <c r="B50" t="s">
        <v>202</v>
      </c>
    </row>
    <row r="51" spans="1:2" x14ac:dyDescent="0.3">
      <c r="A51" t="s">
        <v>74</v>
      </c>
      <c r="B51" t="s">
        <v>202</v>
      </c>
    </row>
    <row r="52" spans="1:2" x14ac:dyDescent="0.3">
      <c r="A52" t="s">
        <v>75</v>
      </c>
      <c r="B52" t="s">
        <v>201</v>
      </c>
    </row>
    <row r="53" spans="1:2" x14ac:dyDescent="0.3">
      <c r="A53" t="s">
        <v>76</v>
      </c>
      <c r="B53" t="s">
        <v>201</v>
      </c>
    </row>
    <row r="54" spans="1:2" x14ac:dyDescent="0.3">
      <c r="A54" t="s">
        <v>77</v>
      </c>
      <c r="B54" t="s">
        <v>201</v>
      </c>
    </row>
    <row r="55" spans="1:2" x14ac:dyDescent="0.3">
      <c r="A55" t="s">
        <v>173</v>
      </c>
      <c r="B55" t="s">
        <v>201</v>
      </c>
    </row>
    <row r="56" spans="1:2" x14ac:dyDescent="0.3">
      <c r="A56" t="s">
        <v>78</v>
      </c>
      <c r="B56" t="s">
        <v>202</v>
      </c>
    </row>
    <row r="57" spans="1:2" x14ac:dyDescent="0.3">
      <c r="A57" t="s">
        <v>174</v>
      </c>
      <c r="B57" t="s">
        <v>202</v>
      </c>
    </row>
    <row r="58" spans="1:2" x14ac:dyDescent="0.3">
      <c r="A58" t="s">
        <v>175</v>
      </c>
      <c r="B58" t="s">
        <v>202</v>
      </c>
    </row>
    <row r="59" spans="1:2" x14ac:dyDescent="0.3">
      <c r="A59" t="s">
        <v>79</v>
      </c>
      <c r="B59" t="s">
        <v>201</v>
      </c>
    </row>
    <row r="60" spans="1:2" x14ac:dyDescent="0.3">
      <c r="A60" t="s">
        <v>176</v>
      </c>
      <c r="B60" t="s">
        <v>201</v>
      </c>
    </row>
    <row r="61" spans="1:2" x14ac:dyDescent="0.3">
      <c r="A61" t="s">
        <v>177</v>
      </c>
      <c r="B61" t="s">
        <v>201</v>
      </c>
    </row>
    <row r="62" spans="1:2" x14ac:dyDescent="0.3">
      <c r="A62" t="s">
        <v>178</v>
      </c>
      <c r="B62" t="s">
        <v>201</v>
      </c>
    </row>
    <row r="63" spans="1:2" x14ac:dyDescent="0.3">
      <c r="A63" t="s">
        <v>80</v>
      </c>
      <c r="B63" t="s">
        <v>202</v>
      </c>
    </row>
    <row r="64" spans="1:2" x14ac:dyDescent="0.3">
      <c r="A64" t="s">
        <v>81</v>
      </c>
      <c r="B64" t="s">
        <v>201</v>
      </c>
    </row>
    <row r="65" spans="1:2" x14ac:dyDescent="0.3">
      <c r="A65" t="s">
        <v>179</v>
      </c>
      <c r="B65" t="s">
        <v>202</v>
      </c>
    </row>
    <row r="66" spans="1:2" x14ac:dyDescent="0.3">
      <c r="A66" t="s">
        <v>82</v>
      </c>
      <c r="B66" t="s">
        <v>202</v>
      </c>
    </row>
    <row r="67" spans="1:2" x14ac:dyDescent="0.3">
      <c r="A67" t="s">
        <v>83</v>
      </c>
      <c r="B67" t="s">
        <v>201</v>
      </c>
    </row>
    <row r="68" spans="1:2" x14ac:dyDescent="0.3">
      <c r="A68" t="s">
        <v>180</v>
      </c>
      <c r="B68" t="s">
        <v>201</v>
      </c>
    </row>
    <row r="69" spans="1:2" x14ac:dyDescent="0.3">
      <c r="A69" t="s">
        <v>181</v>
      </c>
      <c r="B69" t="s">
        <v>201</v>
      </c>
    </row>
    <row r="70" spans="1:2" x14ac:dyDescent="0.3">
      <c r="A70" t="s">
        <v>84</v>
      </c>
      <c r="B70" t="s">
        <v>202</v>
      </c>
    </row>
    <row r="71" spans="1:2" x14ac:dyDescent="0.3">
      <c r="A71" t="s">
        <v>85</v>
      </c>
      <c r="B71" t="s">
        <v>202</v>
      </c>
    </row>
    <row r="72" spans="1:2" x14ac:dyDescent="0.3">
      <c r="A72" t="s">
        <v>86</v>
      </c>
      <c r="B72" t="s">
        <v>201</v>
      </c>
    </row>
    <row r="73" spans="1:2" x14ac:dyDescent="0.3">
      <c r="A73" t="s">
        <v>87</v>
      </c>
      <c r="B73" t="s">
        <v>201</v>
      </c>
    </row>
    <row r="74" spans="1:2" x14ac:dyDescent="0.3">
      <c r="A74" t="s">
        <v>88</v>
      </c>
      <c r="B74" t="s">
        <v>201</v>
      </c>
    </row>
    <row r="75" spans="1:2" x14ac:dyDescent="0.3">
      <c r="A75" t="s">
        <v>182</v>
      </c>
      <c r="B75" t="s">
        <v>202</v>
      </c>
    </row>
    <row r="76" spans="1:2" x14ac:dyDescent="0.3">
      <c r="A76" t="s">
        <v>183</v>
      </c>
      <c r="B76" t="s">
        <v>202</v>
      </c>
    </row>
    <row r="77" spans="1:2" x14ac:dyDescent="0.3">
      <c r="A77" t="s">
        <v>89</v>
      </c>
      <c r="B77" t="s">
        <v>202</v>
      </c>
    </row>
    <row r="78" spans="1:2" x14ac:dyDescent="0.3">
      <c r="A78" t="s">
        <v>90</v>
      </c>
      <c r="B78" t="s">
        <v>201</v>
      </c>
    </row>
    <row r="79" spans="1:2" x14ac:dyDescent="0.3">
      <c r="A79" t="s">
        <v>184</v>
      </c>
      <c r="B79" t="s">
        <v>202</v>
      </c>
    </row>
    <row r="80" spans="1:2" x14ac:dyDescent="0.3">
      <c r="A80" t="s">
        <v>185</v>
      </c>
      <c r="B80" t="s">
        <v>202</v>
      </c>
    </row>
    <row r="81" spans="1:2" x14ac:dyDescent="0.3">
      <c r="A81" t="s">
        <v>186</v>
      </c>
      <c r="B81" t="s">
        <v>201</v>
      </c>
    </row>
    <row r="82" spans="1:2" x14ac:dyDescent="0.3">
      <c r="A82" t="s">
        <v>91</v>
      </c>
      <c r="B82" t="s">
        <v>201</v>
      </c>
    </row>
    <row r="83" spans="1:2" x14ac:dyDescent="0.3">
      <c r="A83" t="s">
        <v>92</v>
      </c>
      <c r="B83" t="s">
        <v>201</v>
      </c>
    </row>
    <row r="84" spans="1:2" x14ac:dyDescent="0.3">
      <c r="A84" t="s">
        <v>187</v>
      </c>
      <c r="B84" t="s">
        <v>202</v>
      </c>
    </row>
    <row r="85" spans="1:2" x14ac:dyDescent="0.3">
      <c r="A85" t="s">
        <v>93</v>
      </c>
      <c r="B85" t="s">
        <v>202</v>
      </c>
    </row>
    <row r="86" spans="1:2" x14ac:dyDescent="0.3">
      <c r="A86" t="s">
        <v>94</v>
      </c>
      <c r="B86" t="s">
        <v>201</v>
      </c>
    </row>
    <row r="87" spans="1:2" x14ac:dyDescent="0.3">
      <c r="A87" t="s">
        <v>95</v>
      </c>
      <c r="B87" t="s">
        <v>201</v>
      </c>
    </row>
    <row r="88" spans="1:2" x14ac:dyDescent="0.3">
      <c r="A88" t="s">
        <v>96</v>
      </c>
      <c r="B88" t="s">
        <v>202</v>
      </c>
    </row>
    <row r="89" spans="1:2" x14ac:dyDescent="0.3">
      <c r="A89" t="s">
        <v>97</v>
      </c>
      <c r="B89" t="s">
        <v>201</v>
      </c>
    </row>
    <row r="90" spans="1:2" x14ac:dyDescent="0.3">
      <c r="A90" t="s">
        <v>98</v>
      </c>
      <c r="B90" t="s">
        <v>201</v>
      </c>
    </row>
    <row r="91" spans="1:2" x14ac:dyDescent="0.3">
      <c r="A91" t="s">
        <v>188</v>
      </c>
      <c r="B91" t="s">
        <v>201</v>
      </c>
    </row>
    <row r="92" spans="1:2" x14ac:dyDescent="0.3">
      <c r="A92" t="s">
        <v>99</v>
      </c>
      <c r="B92" t="s">
        <v>202</v>
      </c>
    </row>
    <row r="93" spans="1:2" x14ac:dyDescent="0.3">
      <c r="A93" t="s">
        <v>100</v>
      </c>
      <c r="B93" t="s">
        <v>202</v>
      </c>
    </row>
    <row r="94" spans="1:2" x14ac:dyDescent="0.3">
      <c r="A94" t="s">
        <v>101</v>
      </c>
      <c r="B94" t="s">
        <v>202</v>
      </c>
    </row>
    <row r="95" spans="1:2" x14ac:dyDescent="0.3">
      <c r="A95" t="s">
        <v>189</v>
      </c>
      <c r="B95" t="s">
        <v>202</v>
      </c>
    </row>
    <row r="96" spans="1:2" x14ac:dyDescent="0.3">
      <c r="A96" t="s">
        <v>102</v>
      </c>
      <c r="B96" t="s">
        <v>202</v>
      </c>
    </row>
    <row r="97" spans="1:2" x14ac:dyDescent="0.3">
      <c r="A97" t="s">
        <v>103</v>
      </c>
      <c r="B97" t="s">
        <v>201</v>
      </c>
    </row>
    <row r="98" spans="1:2" x14ac:dyDescent="0.3">
      <c r="A98" t="s">
        <v>104</v>
      </c>
      <c r="B98" t="s">
        <v>201</v>
      </c>
    </row>
    <row r="99" spans="1:2" x14ac:dyDescent="0.3">
      <c r="A99" t="s">
        <v>190</v>
      </c>
      <c r="B99" t="s">
        <v>201</v>
      </c>
    </row>
    <row r="100" spans="1:2" x14ac:dyDescent="0.3">
      <c r="A100" t="s">
        <v>191</v>
      </c>
      <c r="B100" t="s">
        <v>201</v>
      </c>
    </row>
    <row r="101" spans="1:2" x14ac:dyDescent="0.3">
      <c r="A101" t="s">
        <v>105</v>
      </c>
      <c r="B101" t="s">
        <v>202</v>
      </c>
    </row>
    <row r="102" spans="1:2" x14ac:dyDescent="0.3">
      <c r="A102" t="s">
        <v>106</v>
      </c>
      <c r="B102" t="s">
        <v>201</v>
      </c>
    </row>
    <row r="103" spans="1:2" x14ac:dyDescent="0.3">
      <c r="A103" t="s">
        <v>192</v>
      </c>
      <c r="B103" t="s">
        <v>202</v>
      </c>
    </row>
    <row r="104" spans="1:2" x14ac:dyDescent="0.3">
      <c r="A104" t="s">
        <v>107</v>
      </c>
      <c r="B104" t="s">
        <v>201</v>
      </c>
    </row>
    <row r="105" spans="1:2" x14ac:dyDescent="0.3">
      <c r="A105" t="s">
        <v>108</v>
      </c>
      <c r="B105" t="s">
        <v>202</v>
      </c>
    </row>
    <row r="106" spans="1:2" x14ac:dyDescent="0.3">
      <c r="A106" t="s">
        <v>109</v>
      </c>
      <c r="B106" t="s">
        <v>201</v>
      </c>
    </row>
    <row r="107" spans="1:2" x14ac:dyDescent="0.3">
      <c r="A107" t="s">
        <v>193</v>
      </c>
      <c r="B107" t="s">
        <v>201</v>
      </c>
    </row>
    <row r="108" spans="1:2" x14ac:dyDescent="0.3">
      <c r="A108" t="s">
        <v>110</v>
      </c>
      <c r="B108" t="s">
        <v>201</v>
      </c>
    </row>
    <row r="109" spans="1:2" x14ac:dyDescent="0.3">
      <c r="A109" t="s">
        <v>111</v>
      </c>
      <c r="B109" t="s">
        <v>202</v>
      </c>
    </row>
    <row r="110" spans="1:2" x14ac:dyDescent="0.3">
      <c r="A110" t="s">
        <v>194</v>
      </c>
      <c r="B110" t="s">
        <v>202</v>
      </c>
    </row>
    <row r="111" spans="1:2" x14ac:dyDescent="0.3">
      <c r="A111" t="s">
        <v>195</v>
      </c>
      <c r="B111" t="s">
        <v>201</v>
      </c>
    </row>
    <row r="112" spans="1:2" x14ac:dyDescent="0.3">
      <c r="A112" t="s">
        <v>196</v>
      </c>
      <c r="B112" t="s">
        <v>202</v>
      </c>
    </row>
    <row r="113" spans="1:2" x14ac:dyDescent="0.3">
      <c r="A113" t="s">
        <v>112</v>
      </c>
      <c r="B113" t="s">
        <v>202</v>
      </c>
    </row>
    <row r="114" spans="1:2" x14ac:dyDescent="0.3">
      <c r="A114" t="s">
        <v>113</v>
      </c>
      <c r="B114" t="s">
        <v>201</v>
      </c>
    </row>
    <row r="115" spans="1:2" x14ac:dyDescent="0.3">
      <c r="A115" t="s">
        <v>114</v>
      </c>
      <c r="B115" t="s">
        <v>201</v>
      </c>
    </row>
    <row r="116" spans="1:2" x14ac:dyDescent="0.3">
      <c r="A116" t="s">
        <v>115</v>
      </c>
      <c r="B116" t="s">
        <v>202</v>
      </c>
    </row>
    <row r="117" spans="1:2" x14ac:dyDescent="0.3">
      <c r="A117" t="s">
        <v>116</v>
      </c>
      <c r="B117" t="s">
        <v>201</v>
      </c>
    </row>
    <row r="118" spans="1:2" x14ac:dyDescent="0.3">
      <c r="A118" t="s">
        <v>197</v>
      </c>
      <c r="B118" t="s">
        <v>201</v>
      </c>
    </row>
    <row r="119" spans="1:2" x14ac:dyDescent="0.3">
      <c r="A119" t="s">
        <v>198</v>
      </c>
      <c r="B119" t="s">
        <v>202</v>
      </c>
    </row>
    <row r="120" spans="1:2" x14ac:dyDescent="0.3">
      <c r="A120" t="s">
        <v>117</v>
      </c>
      <c r="B120" t="s">
        <v>202</v>
      </c>
    </row>
    <row r="121" spans="1:2" x14ac:dyDescent="0.3">
      <c r="A121" t="s">
        <v>118</v>
      </c>
      <c r="B121" t="s">
        <v>202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C3511-01F2-4B3C-A158-B87BCEA16E4B}">
  <sheetPr>
    <tabColor theme="7" tint="0.59999389629810485"/>
  </sheetPr>
  <dimension ref="A1:X201"/>
  <sheetViews>
    <sheetView tabSelected="1" zoomScale="61" workbookViewId="0">
      <selection activeCell="Y55" sqref="Y55"/>
    </sheetView>
  </sheetViews>
  <sheetFormatPr defaultRowHeight="14.4" x14ac:dyDescent="0.3"/>
  <cols>
    <col min="1" max="1" width="8.33203125" customWidth="1"/>
    <col min="2" max="2" width="15.88671875" customWidth="1"/>
    <col min="3" max="3" width="13.21875" bestFit="1" customWidth="1"/>
    <col min="4" max="4" width="17.21875" bestFit="1" customWidth="1"/>
    <col min="5" max="5" width="9.33203125" bestFit="1" customWidth="1"/>
    <col min="6" max="6" width="6.21875" bestFit="1" customWidth="1"/>
    <col min="7" max="7" width="12.109375" customWidth="1"/>
    <col min="8" max="8" width="10.6640625" bestFit="1" customWidth="1"/>
    <col min="9" max="10" width="11.6640625" bestFit="1" customWidth="1"/>
    <col min="11" max="11" width="6.88671875" bestFit="1" customWidth="1"/>
    <col min="12" max="12" width="16.88671875" bestFit="1" customWidth="1"/>
    <col min="13" max="13" width="18.88671875" bestFit="1" customWidth="1"/>
    <col min="14" max="14" width="14.33203125" bestFit="1" customWidth="1"/>
    <col min="15" max="15" width="8.44140625" bestFit="1" customWidth="1"/>
    <col min="16" max="16" width="16.21875" bestFit="1" customWidth="1"/>
    <col min="17" max="17" width="18.77734375" bestFit="1" customWidth="1"/>
    <col min="18" max="18" width="21.44140625" bestFit="1" customWidth="1"/>
    <col min="19" max="19" width="18.109375" bestFit="1" customWidth="1"/>
    <col min="20" max="20" width="18.21875" bestFit="1" customWidth="1"/>
    <col min="21" max="21" width="16" bestFit="1" customWidth="1"/>
    <col min="22" max="22" width="14.6640625" bestFit="1" customWidth="1"/>
    <col min="23" max="23" width="14.109375" customWidth="1"/>
    <col min="24" max="24" width="13.6640625" customWidth="1"/>
  </cols>
  <sheetData>
    <row r="1" spans="1:24" x14ac:dyDescent="0.3">
      <c r="A1" t="s">
        <v>0</v>
      </c>
      <c r="B1" t="s">
        <v>1</v>
      </c>
      <c r="C1" t="s">
        <v>2</v>
      </c>
      <c r="D1" t="s">
        <v>3</v>
      </c>
      <c r="E1" t="s">
        <v>4</v>
      </c>
      <c r="F1" t="s">
        <v>5</v>
      </c>
      <c r="G1" t="s">
        <v>119</v>
      </c>
      <c r="H1" t="s">
        <v>6</v>
      </c>
      <c r="I1" t="s">
        <v>7</v>
      </c>
      <c r="J1" t="s">
        <v>120</v>
      </c>
      <c r="K1" t="s">
        <v>160</v>
      </c>
      <c r="L1" t="s">
        <v>121</v>
      </c>
      <c r="M1" t="s">
        <v>122</v>
      </c>
      <c r="N1" t="s">
        <v>12</v>
      </c>
      <c r="O1" t="s">
        <v>8</v>
      </c>
      <c r="P1" t="s">
        <v>123</v>
      </c>
      <c r="Q1" t="s">
        <v>9</v>
      </c>
      <c r="R1" t="s">
        <v>124</v>
      </c>
      <c r="S1" t="s">
        <v>10</v>
      </c>
      <c r="T1" t="s">
        <v>11</v>
      </c>
      <c r="U1" t="s">
        <v>13</v>
      </c>
      <c r="V1" t="s">
        <v>14</v>
      </c>
      <c r="W1" t="s">
        <v>15</v>
      </c>
      <c r="X1" t="s">
        <v>125</v>
      </c>
    </row>
    <row r="2" spans="1:24" x14ac:dyDescent="0.3">
      <c r="A2">
        <v>1</v>
      </c>
      <c r="B2" t="s">
        <v>16</v>
      </c>
      <c r="C2" t="s">
        <v>17</v>
      </c>
      <c r="D2" t="s">
        <v>18</v>
      </c>
      <c r="E2" t="s">
        <v>201</v>
      </c>
      <c r="F2">
        <v>43</v>
      </c>
      <c r="G2" t="s">
        <v>126</v>
      </c>
      <c r="H2" s="1">
        <v>43557</v>
      </c>
      <c r="I2" s="1">
        <v>44150</v>
      </c>
      <c r="J2" t="s">
        <v>127</v>
      </c>
      <c r="K2">
        <v>2019</v>
      </c>
      <c r="L2">
        <v>593</v>
      </c>
      <c r="M2">
        <v>20</v>
      </c>
      <c r="N2">
        <v>0</v>
      </c>
      <c r="O2">
        <v>12935</v>
      </c>
      <c r="P2" t="s">
        <v>128</v>
      </c>
      <c r="Q2">
        <v>2.72</v>
      </c>
      <c r="R2" t="s">
        <v>129</v>
      </c>
      <c r="S2">
        <v>4</v>
      </c>
      <c r="T2">
        <v>1</v>
      </c>
      <c r="U2">
        <v>5</v>
      </c>
      <c r="V2">
        <v>13</v>
      </c>
      <c r="W2">
        <v>576</v>
      </c>
      <c r="X2">
        <v>44</v>
      </c>
    </row>
    <row r="3" spans="1:24" x14ac:dyDescent="0.3">
      <c r="A3">
        <v>2</v>
      </c>
      <c r="B3" t="s">
        <v>19</v>
      </c>
      <c r="C3" t="s">
        <v>20</v>
      </c>
      <c r="D3" t="s">
        <v>21</v>
      </c>
      <c r="E3" t="s">
        <v>202</v>
      </c>
      <c r="F3">
        <v>40</v>
      </c>
      <c r="G3" t="s">
        <v>130</v>
      </c>
      <c r="H3" s="1">
        <v>45566</v>
      </c>
      <c r="I3" s="1"/>
      <c r="J3" t="s">
        <v>131</v>
      </c>
      <c r="K3">
        <v>2024</v>
      </c>
      <c r="L3">
        <v>568</v>
      </c>
      <c r="M3">
        <v>19</v>
      </c>
      <c r="N3">
        <v>13</v>
      </c>
      <c r="O3">
        <v>8557</v>
      </c>
      <c r="P3" t="s">
        <v>132</v>
      </c>
      <c r="Q3">
        <v>4.5199999999999996</v>
      </c>
      <c r="R3" t="s">
        <v>128</v>
      </c>
      <c r="S3">
        <v>1</v>
      </c>
      <c r="T3">
        <v>2</v>
      </c>
      <c r="U3">
        <v>21</v>
      </c>
      <c r="V3">
        <v>17</v>
      </c>
      <c r="W3">
        <v>418</v>
      </c>
      <c r="X3">
        <v>25</v>
      </c>
    </row>
    <row r="4" spans="1:24" x14ac:dyDescent="0.3">
      <c r="A4">
        <v>3</v>
      </c>
      <c r="B4" t="s">
        <v>22</v>
      </c>
      <c r="C4" t="s">
        <v>23</v>
      </c>
      <c r="D4" t="s">
        <v>24</v>
      </c>
      <c r="E4" t="s">
        <v>201</v>
      </c>
      <c r="F4">
        <v>47</v>
      </c>
      <c r="G4" t="s">
        <v>126</v>
      </c>
      <c r="H4" s="1">
        <v>44479</v>
      </c>
      <c r="I4" s="1">
        <v>45287</v>
      </c>
      <c r="J4" t="s">
        <v>127</v>
      </c>
      <c r="K4">
        <v>2021</v>
      </c>
      <c r="L4">
        <v>796</v>
      </c>
      <c r="M4">
        <v>27</v>
      </c>
      <c r="N4">
        <v>12</v>
      </c>
      <c r="O4">
        <v>4711</v>
      </c>
      <c r="P4" t="s">
        <v>129</v>
      </c>
      <c r="Q4">
        <v>4.32</v>
      </c>
      <c r="R4" t="s">
        <v>133</v>
      </c>
      <c r="S4">
        <v>5</v>
      </c>
      <c r="T4">
        <v>1</v>
      </c>
      <c r="U4">
        <v>5</v>
      </c>
      <c r="V4">
        <v>35</v>
      </c>
      <c r="W4">
        <v>700</v>
      </c>
      <c r="X4">
        <v>20</v>
      </c>
    </row>
    <row r="5" spans="1:24" x14ac:dyDescent="0.3">
      <c r="A5">
        <v>4</v>
      </c>
      <c r="B5" t="s">
        <v>25</v>
      </c>
      <c r="C5" t="s">
        <v>17</v>
      </c>
      <c r="D5" t="s">
        <v>18</v>
      </c>
      <c r="E5" t="s">
        <v>202</v>
      </c>
      <c r="F5">
        <v>23</v>
      </c>
      <c r="G5" t="s">
        <v>134</v>
      </c>
      <c r="H5" s="1">
        <v>45634</v>
      </c>
      <c r="I5" s="1"/>
      <c r="J5" t="s">
        <v>131</v>
      </c>
      <c r="K5">
        <v>2024</v>
      </c>
      <c r="L5">
        <v>506</v>
      </c>
      <c r="M5">
        <v>17</v>
      </c>
      <c r="N5">
        <v>7</v>
      </c>
      <c r="O5">
        <v>14834</v>
      </c>
      <c r="P5" t="s">
        <v>128</v>
      </c>
      <c r="Q5">
        <v>3.07</v>
      </c>
      <c r="R5" t="s">
        <v>129</v>
      </c>
      <c r="S5">
        <v>3</v>
      </c>
      <c r="T5">
        <v>1</v>
      </c>
      <c r="U5">
        <v>55</v>
      </c>
      <c r="V5">
        <v>6</v>
      </c>
      <c r="W5">
        <v>878</v>
      </c>
      <c r="X5">
        <v>146</v>
      </c>
    </row>
    <row r="6" spans="1:24" x14ac:dyDescent="0.3">
      <c r="A6">
        <v>25</v>
      </c>
      <c r="B6" t="s">
        <v>25</v>
      </c>
      <c r="C6" t="s">
        <v>35</v>
      </c>
      <c r="D6" t="s">
        <v>39</v>
      </c>
      <c r="E6" t="s">
        <v>202</v>
      </c>
      <c r="F6">
        <v>26</v>
      </c>
      <c r="G6" t="s">
        <v>134</v>
      </c>
      <c r="H6" s="1">
        <v>43711</v>
      </c>
      <c r="I6" s="1"/>
      <c r="J6" t="s">
        <v>131</v>
      </c>
      <c r="K6">
        <v>2019</v>
      </c>
      <c r="L6">
        <v>2430</v>
      </c>
      <c r="M6">
        <v>81</v>
      </c>
      <c r="N6">
        <v>6</v>
      </c>
      <c r="O6">
        <v>4685</v>
      </c>
      <c r="P6" t="s">
        <v>129</v>
      </c>
      <c r="Q6">
        <v>3.27</v>
      </c>
      <c r="R6" t="s">
        <v>129</v>
      </c>
      <c r="S6">
        <v>1</v>
      </c>
      <c r="T6">
        <v>3</v>
      </c>
      <c r="U6">
        <v>43</v>
      </c>
      <c r="V6">
        <v>15</v>
      </c>
      <c r="W6">
        <v>1465</v>
      </c>
      <c r="X6">
        <v>98</v>
      </c>
    </row>
    <row r="7" spans="1:24" x14ac:dyDescent="0.3">
      <c r="A7">
        <v>5</v>
      </c>
      <c r="B7" t="s">
        <v>26</v>
      </c>
      <c r="C7" t="s">
        <v>27</v>
      </c>
      <c r="D7" t="s">
        <v>28</v>
      </c>
      <c r="E7" t="s">
        <v>202</v>
      </c>
      <c r="F7">
        <v>28</v>
      </c>
      <c r="G7" t="s">
        <v>134</v>
      </c>
      <c r="H7" s="1">
        <v>44958</v>
      </c>
      <c r="I7" s="1"/>
      <c r="J7" t="s">
        <v>131</v>
      </c>
      <c r="K7">
        <v>2023</v>
      </c>
      <c r="L7">
        <v>1169</v>
      </c>
      <c r="M7">
        <v>39</v>
      </c>
      <c r="N7">
        <v>20</v>
      </c>
      <c r="O7">
        <v>14980</v>
      </c>
      <c r="P7" t="s">
        <v>128</v>
      </c>
      <c r="Q7">
        <v>3.17</v>
      </c>
      <c r="R7" t="s">
        <v>129</v>
      </c>
      <c r="S7">
        <v>1</v>
      </c>
      <c r="T7">
        <v>5</v>
      </c>
      <c r="U7">
        <v>10</v>
      </c>
      <c r="V7">
        <v>34</v>
      </c>
      <c r="W7">
        <v>1593</v>
      </c>
      <c r="X7">
        <v>47</v>
      </c>
    </row>
    <row r="8" spans="1:24" x14ac:dyDescent="0.3">
      <c r="A8">
        <v>6</v>
      </c>
      <c r="B8" t="s">
        <v>29</v>
      </c>
      <c r="C8" t="s">
        <v>23</v>
      </c>
      <c r="D8" t="s">
        <v>30</v>
      </c>
      <c r="E8" t="s">
        <v>201</v>
      </c>
      <c r="F8">
        <v>48</v>
      </c>
      <c r="G8" t="s">
        <v>126</v>
      </c>
      <c r="H8" s="1">
        <v>43770</v>
      </c>
      <c r="I8" s="1"/>
      <c r="J8" t="s">
        <v>131</v>
      </c>
      <c r="K8">
        <v>2019</v>
      </c>
      <c r="L8">
        <v>2365</v>
      </c>
      <c r="M8">
        <v>79</v>
      </c>
      <c r="N8">
        <v>12</v>
      </c>
      <c r="O8">
        <v>4916</v>
      </c>
      <c r="P8" t="s">
        <v>129</v>
      </c>
      <c r="Q8">
        <v>3.07</v>
      </c>
      <c r="R8" t="s">
        <v>129</v>
      </c>
      <c r="S8">
        <v>1</v>
      </c>
      <c r="T8">
        <v>3</v>
      </c>
      <c r="U8">
        <v>17</v>
      </c>
      <c r="V8">
        <v>4</v>
      </c>
      <c r="W8">
        <v>532</v>
      </c>
      <c r="X8">
        <v>133</v>
      </c>
    </row>
    <row r="9" spans="1:24" x14ac:dyDescent="0.3">
      <c r="A9">
        <v>7</v>
      </c>
      <c r="B9" t="s">
        <v>31</v>
      </c>
      <c r="C9" t="s">
        <v>20</v>
      </c>
      <c r="D9" t="s">
        <v>21</v>
      </c>
      <c r="E9" t="s">
        <v>202</v>
      </c>
      <c r="F9">
        <v>26</v>
      </c>
      <c r="G9" t="s">
        <v>134</v>
      </c>
      <c r="H9" s="1">
        <v>44389</v>
      </c>
      <c r="I9" s="1">
        <v>45441</v>
      </c>
      <c r="J9" t="s">
        <v>127</v>
      </c>
      <c r="K9">
        <v>2021</v>
      </c>
      <c r="L9">
        <v>1034</v>
      </c>
      <c r="M9">
        <v>34</v>
      </c>
      <c r="N9">
        <v>18</v>
      </c>
      <c r="O9">
        <v>8040</v>
      </c>
      <c r="P9" t="s">
        <v>132</v>
      </c>
      <c r="Q9">
        <v>4.3600000000000003</v>
      </c>
      <c r="R9" t="s">
        <v>133</v>
      </c>
      <c r="S9">
        <v>5</v>
      </c>
      <c r="T9">
        <v>3</v>
      </c>
      <c r="U9">
        <v>27</v>
      </c>
      <c r="V9">
        <v>37</v>
      </c>
      <c r="W9">
        <v>917</v>
      </c>
      <c r="X9">
        <v>25</v>
      </c>
    </row>
    <row r="10" spans="1:24" x14ac:dyDescent="0.3">
      <c r="A10">
        <v>34</v>
      </c>
      <c r="B10" t="s">
        <v>31</v>
      </c>
      <c r="C10" t="s">
        <v>17</v>
      </c>
      <c r="D10" t="s">
        <v>53</v>
      </c>
      <c r="E10" t="s">
        <v>202</v>
      </c>
      <c r="F10">
        <v>26</v>
      </c>
      <c r="G10" t="s">
        <v>134</v>
      </c>
      <c r="H10" s="1">
        <v>45458</v>
      </c>
      <c r="I10" s="1"/>
      <c r="J10" t="s">
        <v>131</v>
      </c>
      <c r="K10">
        <v>2024</v>
      </c>
      <c r="L10">
        <v>682</v>
      </c>
      <c r="M10">
        <v>23</v>
      </c>
      <c r="N10">
        <v>7</v>
      </c>
      <c r="O10">
        <v>14748</v>
      </c>
      <c r="P10" t="s">
        <v>128</v>
      </c>
      <c r="Q10">
        <v>4.22</v>
      </c>
      <c r="R10" t="s">
        <v>133</v>
      </c>
      <c r="S10">
        <v>1</v>
      </c>
      <c r="T10">
        <v>4</v>
      </c>
      <c r="U10">
        <v>11</v>
      </c>
      <c r="V10">
        <v>33</v>
      </c>
      <c r="W10">
        <v>1051</v>
      </c>
      <c r="X10">
        <v>32</v>
      </c>
    </row>
    <row r="11" spans="1:24" x14ac:dyDescent="0.3">
      <c r="A11">
        <v>52</v>
      </c>
      <c r="B11" t="s">
        <v>31</v>
      </c>
      <c r="C11" t="s">
        <v>27</v>
      </c>
      <c r="D11" t="s">
        <v>49</v>
      </c>
      <c r="E11" t="s">
        <v>202</v>
      </c>
      <c r="F11">
        <v>26</v>
      </c>
      <c r="G11" t="s">
        <v>134</v>
      </c>
      <c r="H11" s="1">
        <v>45057</v>
      </c>
      <c r="I11" s="1">
        <v>45220</v>
      </c>
      <c r="J11" t="s">
        <v>127</v>
      </c>
      <c r="K11">
        <v>2023</v>
      </c>
      <c r="L11">
        <v>156</v>
      </c>
      <c r="M11">
        <v>5</v>
      </c>
      <c r="N11">
        <v>7</v>
      </c>
      <c r="O11">
        <v>6444</v>
      </c>
      <c r="P11" t="s">
        <v>132</v>
      </c>
      <c r="Q11">
        <v>4.53</v>
      </c>
      <c r="R11" t="s">
        <v>128</v>
      </c>
      <c r="S11">
        <v>3</v>
      </c>
      <c r="T11">
        <v>1</v>
      </c>
      <c r="U11">
        <v>7</v>
      </c>
      <c r="V11">
        <v>35</v>
      </c>
      <c r="W11">
        <v>1665</v>
      </c>
      <c r="X11">
        <v>48</v>
      </c>
    </row>
    <row r="12" spans="1:24" x14ac:dyDescent="0.3">
      <c r="A12">
        <v>8</v>
      </c>
      <c r="B12" t="s">
        <v>161</v>
      </c>
      <c r="C12" t="s">
        <v>27</v>
      </c>
      <c r="D12" t="s">
        <v>28</v>
      </c>
      <c r="E12" t="s">
        <v>201</v>
      </c>
      <c r="F12">
        <v>46</v>
      </c>
      <c r="G12" t="s">
        <v>126</v>
      </c>
      <c r="H12" s="1">
        <v>43999</v>
      </c>
      <c r="I12" s="1"/>
      <c r="J12" t="s">
        <v>131</v>
      </c>
      <c r="K12">
        <v>2020</v>
      </c>
      <c r="L12">
        <v>2135</v>
      </c>
      <c r="M12">
        <v>71</v>
      </c>
      <c r="N12">
        <v>13</v>
      </c>
      <c r="O12">
        <v>4771</v>
      </c>
      <c r="P12" t="s">
        <v>129</v>
      </c>
      <c r="Q12">
        <v>4.6500000000000004</v>
      </c>
      <c r="R12" t="s">
        <v>128</v>
      </c>
      <c r="S12">
        <v>2</v>
      </c>
      <c r="T12">
        <v>2</v>
      </c>
      <c r="U12">
        <v>38</v>
      </c>
      <c r="V12">
        <v>4</v>
      </c>
      <c r="W12">
        <v>888</v>
      </c>
      <c r="X12">
        <v>222</v>
      </c>
    </row>
    <row r="13" spans="1:24" x14ac:dyDescent="0.3">
      <c r="A13">
        <v>9</v>
      </c>
      <c r="B13" t="s">
        <v>162</v>
      </c>
      <c r="C13" t="s">
        <v>32</v>
      </c>
      <c r="D13" t="s">
        <v>33</v>
      </c>
      <c r="E13" t="s">
        <v>202</v>
      </c>
      <c r="F13">
        <v>43</v>
      </c>
      <c r="G13" t="s">
        <v>126</v>
      </c>
      <c r="H13" s="1">
        <v>45541</v>
      </c>
      <c r="I13" s="1"/>
      <c r="J13" t="s">
        <v>131</v>
      </c>
      <c r="K13">
        <v>2024</v>
      </c>
      <c r="L13">
        <v>597</v>
      </c>
      <c r="M13">
        <v>20</v>
      </c>
      <c r="N13">
        <v>9</v>
      </c>
      <c r="O13">
        <v>12797</v>
      </c>
      <c r="P13" t="s">
        <v>128</v>
      </c>
      <c r="Q13">
        <v>4.38</v>
      </c>
      <c r="R13" t="s">
        <v>133</v>
      </c>
      <c r="S13">
        <v>3</v>
      </c>
      <c r="T13">
        <v>1</v>
      </c>
      <c r="U13">
        <v>27</v>
      </c>
      <c r="V13">
        <v>10</v>
      </c>
      <c r="W13">
        <v>1029</v>
      </c>
      <c r="X13">
        <v>103</v>
      </c>
    </row>
    <row r="14" spans="1:24" x14ac:dyDescent="0.3">
      <c r="A14">
        <v>10</v>
      </c>
      <c r="B14" t="s">
        <v>34</v>
      </c>
      <c r="C14" t="s">
        <v>35</v>
      </c>
      <c r="D14" t="s">
        <v>36</v>
      </c>
      <c r="E14" t="s">
        <v>201</v>
      </c>
      <c r="F14">
        <v>48</v>
      </c>
      <c r="G14" t="s">
        <v>126</v>
      </c>
      <c r="H14" s="1">
        <v>44179</v>
      </c>
      <c r="I14" s="1"/>
      <c r="J14" t="s">
        <v>131</v>
      </c>
      <c r="K14">
        <v>2020</v>
      </c>
      <c r="L14">
        <v>1957</v>
      </c>
      <c r="M14">
        <v>65</v>
      </c>
      <c r="N14">
        <v>11</v>
      </c>
      <c r="O14">
        <v>14468</v>
      </c>
      <c r="P14" t="s">
        <v>128</v>
      </c>
      <c r="Q14">
        <v>3.77</v>
      </c>
      <c r="R14" t="s">
        <v>133</v>
      </c>
      <c r="S14">
        <v>2</v>
      </c>
      <c r="T14">
        <v>2</v>
      </c>
      <c r="U14">
        <v>48</v>
      </c>
      <c r="V14">
        <v>10</v>
      </c>
      <c r="W14">
        <v>1204</v>
      </c>
      <c r="X14">
        <v>120</v>
      </c>
    </row>
    <row r="15" spans="1:24" x14ac:dyDescent="0.3">
      <c r="A15">
        <v>11</v>
      </c>
      <c r="B15" t="s">
        <v>37</v>
      </c>
      <c r="C15" t="s">
        <v>20</v>
      </c>
      <c r="D15" t="s">
        <v>21</v>
      </c>
      <c r="E15" t="s">
        <v>202</v>
      </c>
      <c r="F15">
        <v>50</v>
      </c>
      <c r="G15" t="s">
        <v>126</v>
      </c>
      <c r="H15" s="1">
        <v>43103</v>
      </c>
      <c r="I15" s="1"/>
      <c r="J15" t="s">
        <v>131</v>
      </c>
      <c r="K15">
        <v>2018</v>
      </c>
      <c r="L15">
        <v>3042</v>
      </c>
      <c r="M15">
        <v>101</v>
      </c>
      <c r="N15">
        <v>2</v>
      </c>
      <c r="O15">
        <v>9038</v>
      </c>
      <c r="P15" t="s">
        <v>132</v>
      </c>
      <c r="Q15">
        <v>3.1</v>
      </c>
      <c r="R15" t="s">
        <v>129</v>
      </c>
      <c r="S15">
        <v>2</v>
      </c>
      <c r="T15">
        <v>5</v>
      </c>
      <c r="U15">
        <v>5</v>
      </c>
      <c r="V15">
        <v>31</v>
      </c>
      <c r="W15">
        <v>1771</v>
      </c>
      <c r="X15">
        <v>57</v>
      </c>
    </row>
    <row r="16" spans="1:24" x14ac:dyDescent="0.3">
      <c r="A16">
        <v>39</v>
      </c>
      <c r="B16" t="s">
        <v>37</v>
      </c>
      <c r="C16" t="s">
        <v>23</v>
      </c>
      <c r="D16" t="s">
        <v>24</v>
      </c>
      <c r="E16" t="s">
        <v>202</v>
      </c>
      <c r="F16">
        <v>43</v>
      </c>
      <c r="G16" t="s">
        <v>126</v>
      </c>
      <c r="H16" s="1">
        <v>45100</v>
      </c>
      <c r="I16" s="1"/>
      <c r="J16" t="s">
        <v>131</v>
      </c>
      <c r="K16">
        <v>2023</v>
      </c>
      <c r="L16">
        <v>1028</v>
      </c>
      <c r="M16">
        <v>34</v>
      </c>
      <c r="N16">
        <v>19</v>
      </c>
      <c r="O16">
        <v>10624</v>
      </c>
      <c r="P16" t="s">
        <v>128</v>
      </c>
      <c r="Q16">
        <v>4.3099999999999996</v>
      </c>
      <c r="R16" t="s">
        <v>133</v>
      </c>
      <c r="S16">
        <v>4</v>
      </c>
      <c r="T16">
        <v>2</v>
      </c>
      <c r="U16">
        <v>34</v>
      </c>
      <c r="V16">
        <v>1</v>
      </c>
      <c r="W16">
        <v>1957</v>
      </c>
      <c r="X16">
        <v>1957</v>
      </c>
    </row>
    <row r="17" spans="1:24" x14ac:dyDescent="0.3">
      <c r="A17">
        <v>76</v>
      </c>
      <c r="B17" t="s">
        <v>37</v>
      </c>
      <c r="C17" t="s">
        <v>17</v>
      </c>
      <c r="D17" t="s">
        <v>53</v>
      </c>
      <c r="E17" t="s">
        <v>202</v>
      </c>
      <c r="F17">
        <v>42</v>
      </c>
      <c r="G17" t="s">
        <v>126</v>
      </c>
      <c r="H17" s="1">
        <v>44622</v>
      </c>
      <c r="I17" s="1">
        <v>45130</v>
      </c>
      <c r="J17" t="s">
        <v>127</v>
      </c>
      <c r="K17">
        <v>2022</v>
      </c>
      <c r="L17">
        <v>488</v>
      </c>
      <c r="M17">
        <v>16</v>
      </c>
      <c r="N17">
        <v>20</v>
      </c>
      <c r="O17">
        <v>5035</v>
      </c>
      <c r="P17" t="s">
        <v>129</v>
      </c>
      <c r="Q17">
        <v>4.09</v>
      </c>
      <c r="R17" t="s">
        <v>133</v>
      </c>
      <c r="S17">
        <v>4</v>
      </c>
      <c r="T17">
        <v>3</v>
      </c>
      <c r="U17">
        <v>26</v>
      </c>
      <c r="V17">
        <v>7</v>
      </c>
      <c r="W17">
        <v>386</v>
      </c>
      <c r="X17">
        <v>55</v>
      </c>
    </row>
    <row r="18" spans="1:24" x14ac:dyDescent="0.3">
      <c r="A18">
        <v>12</v>
      </c>
      <c r="B18" t="s">
        <v>38</v>
      </c>
      <c r="C18" t="s">
        <v>35</v>
      </c>
      <c r="D18" t="s">
        <v>39</v>
      </c>
      <c r="E18" t="s">
        <v>201</v>
      </c>
      <c r="F18">
        <v>38</v>
      </c>
      <c r="G18" t="s">
        <v>130</v>
      </c>
      <c r="H18" s="1">
        <v>45282</v>
      </c>
      <c r="I18" s="1"/>
      <c r="J18" t="s">
        <v>131</v>
      </c>
      <c r="K18">
        <v>2023</v>
      </c>
      <c r="L18">
        <v>859</v>
      </c>
      <c r="M18">
        <v>29</v>
      </c>
      <c r="N18">
        <v>6</v>
      </c>
      <c r="O18">
        <v>13938</v>
      </c>
      <c r="P18" t="s">
        <v>128</v>
      </c>
      <c r="Q18">
        <v>3.56</v>
      </c>
      <c r="R18" t="s">
        <v>133</v>
      </c>
      <c r="S18">
        <v>2</v>
      </c>
      <c r="T18">
        <v>5</v>
      </c>
      <c r="U18">
        <v>45</v>
      </c>
      <c r="V18">
        <v>19</v>
      </c>
      <c r="W18">
        <v>917</v>
      </c>
      <c r="X18">
        <v>48</v>
      </c>
    </row>
    <row r="19" spans="1:24" x14ac:dyDescent="0.3">
      <c r="A19">
        <v>13</v>
      </c>
      <c r="B19" t="s">
        <v>163</v>
      </c>
      <c r="C19" t="s">
        <v>17</v>
      </c>
      <c r="D19" t="s">
        <v>18</v>
      </c>
      <c r="E19" t="s">
        <v>202</v>
      </c>
      <c r="F19">
        <v>29</v>
      </c>
      <c r="G19" t="s">
        <v>134</v>
      </c>
      <c r="H19" s="1">
        <v>44630</v>
      </c>
      <c r="I19" s="1"/>
      <c r="J19" t="s">
        <v>131</v>
      </c>
      <c r="K19">
        <v>2022</v>
      </c>
      <c r="L19">
        <v>1510</v>
      </c>
      <c r="M19">
        <v>50</v>
      </c>
      <c r="N19">
        <v>7</v>
      </c>
      <c r="O19">
        <v>5049</v>
      </c>
      <c r="P19" t="s">
        <v>129</v>
      </c>
      <c r="Q19">
        <v>3.35</v>
      </c>
      <c r="R19" t="s">
        <v>129</v>
      </c>
      <c r="S19">
        <v>5</v>
      </c>
      <c r="T19">
        <v>5</v>
      </c>
      <c r="U19">
        <v>37</v>
      </c>
      <c r="V19">
        <v>14</v>
      </c>
      <c r="W19">
        <v>114</v>
      </c>
      <c r="X19">
        <v>8</v>
      </c>
    </row>
    <row r="20" spans="1:24" x14ac:dyDescent="0.3">
      <c r="A20">
        <v>14</v>
      </c>
      <c r="B20" t="s">
        <v>40</v>
      </c>
      <c r="C20" t="s">
        <v>35</v>
      </c>
      <c r="D20" t="s">
        <v>39</v>
      </c>
      <c r="E20" t="s">
        <v>202</v>
      </c>
      <c r="F20">
        <v>43</v>
      </c>
      <c r="G20" t="s">
        <v>126</v>
      </c>
      <c r="H20" s="1">
        <v>43342</v>
      </c>
      <c r="I20" s="1">
        <v>43436</v>
      </c>
      <c r="J20" t="s">
        <v>127</v>
      </c>
      <c r="K20">
        <v>2018</v>
      </c>
      <c r="L20">
        <v>76</v>
      </c>
      <c r="M20">
        <v>3</v>
      </c>
      <c r="N20">
        <v>18</v>
      </c>
      <c r="O20">
        <v>11953</v>
      </c>
      <c r="P20" t="s">
        <v>128</v>
      </c>
      <c r="Q20">
        <v>3.04</v>
      </c>
      <c r="R20" t="s">
        <v>129</v>
      </c>
      <c r="S20">
        <v>2</v>
      </c>
      <c r="T20">
        <v>5</v>
      </c>
      <c r="U20">
        <v>30</v>
      </c>
      <c r="V20">
        <v>15</v>
      </c>
      <c r="W20">
        <v>1706</v>
      </c>
      <c r="X20">
        <v>114</v>
      </c>
    </row>
    <row r="21" spans="1:24" x14ac:dyDescent="0.3">
      <c r="A21">
        <v>60</v>
      </c>
      <c r="B21" t="s">
        <v>40</v>
      </c>
      <c r="C21" t="s">
        <v>32</v>
      </c>
      <c r="D21" t="s">
        <v>42</v>
      </c>
      <c r="E21" t="s">
        <v>202</v>
      </c>
      <c r="F21">
        <v>43</v>
      </c>
      <c r="G21" t="s">
        <v>126</v>
      </c>
      <c r="H21" s="1">
        <v>43461</v>
      </c>
      <c r="I21" s="1"/>
      <c r="J21" t="s">
        <v>131</v>
      </c>
      <c r="K21">
        <v>2018</v>
      </c>
      <c r="L21">
        <v>2670</v>
      </c>
      <c r="M21">
        <v>89</v>
      </c>
      <c r="N21">
        <v>16</v>
      </c>
      <c r="O21">
        <v>12889</v>
      </c>
      <c r="P21" t="s">
        <v>128</v>
      </c>
      <c r="Q21">
        <v>3.65</v>
      </c>
      <c r="R21" t="s">
        <v>133</v>
      </c>
      <c r="S21">
        <v>1</v>
      </c>
      <c r="T21">
        <v>2</v>
      </c>
      <c r="U21">
        <v>23</v>
      </c>
      <c r="V21">
        <v>39</v>
      </c>
      <c r="W21">
        <v>1649</v>
      </c>
      <c r="X21">
        <v>42</v>
      </c>
    </row>
    <row r="22" spans="1:24" x14ac:dyDescent="0.3">
      <c r="A22">
        <v>66</v>
      </c>
      <c r="B22" t="s">
        <v>40</v>
      </c>
      <c r="C22" t="s">
        <v>23</v>
      </c>
      <c r="D22" t="s">
        <v>24</v>
      </c>
      <c r="E22" t="s">
        <v>202</v>
      </c>
      <c r="F22">
        <v>38</v>
      </c>
      <c r="G22" t="s">
        <v>130</v>
      </c>
      <c r="H22" s="1">
        <v>45158</v>
      </c>
      <c r="I22" s="1"/>
      <c r="J22" t="s">
        <v>131</v>
      </c>
      <c r="K22">
        <v>2023</v>
      </c>
      <c r="L22">
        <v>969</v>
      </c>
      <c r="M22">
        <v>32</v>
      </c>
      <c r="N22">
        <v>20</v>
      </c>
      <c r="O22">
        <v>11486</v>
      </c>
      <c r="P22" t="s">
        <v>128</v>
      </c>
      <c r="Q22">
        <v>2.54</v>
      </c>
      <c r="R22" t="s">
        <v>129</v>
      </c>
      <c r="S22">
        <v>2</v>
      </c>
      <c r="T22">
        <v>4</v>
      </c>
      <c r="U22">
        <v>9</v>
      </c>
      <c r="V22">
        <v>4</v>
      </c>
      <c r="W22">
        <v>1061</v>
      </c>
      <c r="X22">
        <v>265</v>
      </c>
    </row>
    <row r="23" spans="1:24" x14ac:dyDescent="0.3">
      <c r="A23">
        <v>101</v>
      </c>
      <c r="B23" t="s">
        <v>40</v>
      </c>
      <c r="C23" t="s">
        <v>27</v>
      </c>
      <c r="D23" t="s">
        <v>28</v>
      </c>
      <c r="E23" t="s">
        <v>202</v>
      </c>
      <c r="F23">
        <v>39</v>
      </c>
      <c r="G23" t="s">
        <v>130</v>
      </c>
      <c r="H23" s="1">
        <v>45549</v>
      </c>
      <c r="I23" s="1"/>
      <c r="J23" t="s">
        <v>131</v>
      </c>
      <c r="K23">
        <v>2024</v>
      </c>
      <c r="L23">
        <v>588</v>
      </c>
      <c r="M23">
        <v>20</v>
      </c>
      <c r="N23">
        <v>10</v>
      </c>
      <c r="O23">
        <v>10333</v>
      </c>
      <c r="P23" t="s">
        <v>128</v>
      </c>
      <c r="Q23">
        <v>3.21</v>
      </c>
      <c r="R23" t="s">
        <v>129</v>
      </c>
      <c r="S23">
        <v>5</v>
      </c>
      <c r="T23">
        <v>2</v>
      </c>
      <c r="U23">
        <v>5</v>
      </c>
      <c r="V23">
        <v>37</v>
      </c>
      <c r="W23">
        <v>1459</v>
      </c>
      <c r="X23">
        <v>39</v>
      </c>
    </row>
    <row r="24" spans="1:24" x14ac:dyDescent="0.3">
      <c r="A24">
        <v>15</v>
      </c>
      <c r="B24" t="s">
        <v>41</v>
      </c>
      <c r="C24" t="s">
        <v>32</v>
      </c>
      <c r="D24" t="s">
        <v>42</v>
      </c>
      <c r="E24" t="s">
        <v>202</v>
      </c>
      <c r="F24">
        <v>36</v>
      </c>
      <c r="G24" t="s">
        <v>130</v>
      </c>
      <c r="H24" s="1">
        <v>44768</v>
      </c>
      <c r="I24" s="1">
        <v>44996</v>
      </c>
      <c r="J24" t="s">
        <v>127</v>
      </c>
      <c r="K24">
        <v>2022</v>
      </c>
      <c r="L24">
        <v>216</v>
      </c>
      <c r="M24">
        <v>7</v>
      </c>
      <c r="N24">
        <v>12</v>
      </c>
      <c r="O24">
        <v>4887</v>
      </c>
      <c r="P24" t="s">
        <v>129</v>
      </c>
      <c r="Q24">
        <v>4.18</v>
      </c>
      <c r="R24" t="s">
        <v>133</v>
      </c>
      <c r="S24">
        <v>1</v>
      </c>
      <c r="T24">
        <v>1</v>
      </c>
      <c r="U24">
        <v>46</v>
      </c>
      <c r="V24">
        <v>21</v>
      </c>
      <c r="W24">
        <v>1739</v>
      </c>
      <c r="X24">
        <v>83</v>
      </c>
    </row>
    <row r="25" spans="1:24" x14ac:dyDescent="0.3">
      <c r="A25">
        <v>29</v>
      </c>
      <c r="B25" t="s">
        <v>41</v>
      </c>
      <c r="C25" t="s">
        <v>20</v>
      </c>
      <c r="D25" t="s">
        <v>46</v>
      </c>
      <c r="E25" t="s">
        <v>202</v>
      </c>
      <c r="F25">
        <v>41</v>
      </c>
      <c r="G25" t="s">
        <v>126</v>
      </c>
      <c r="H25" s="1">
        <v>44188</v>
      </c>
      <c r="I25" s="1">
        <v>45439</v>
      </c>
      <c r="J25" t="s">
        <v>127</v>
      </c>
      <c r="K25">
        <v>2020</v>
      </c>
      <c r="L25">
        <v>1243</v>
      </c>
      <c r="M25">
        <v>41</v>
      </c>
      <c r="N25">
        <v>8</v>
      </c>
      <c r="O25">
        <v>12379</v>
      </c>
      <c r="P25" t="s">
        <v>128</v>
      </c>
      <c r="Q25">
        <v>2.79</v>
      </c>
      <c r="R25" t="s">
        <v>129</v>
      </c>
      <c r="S25">
        <v>5</v>
      </c>
      <c r="T25">
        <v>2</v>
      </c>
      <c r="U25">
        <v>2</v>
      </c>
      <c r="V25">
        <v>27</v>
      </c>
      <c r="W25">
        <v>103</v>
      </c>
      <c r="X25">
        <v>4</v>
      </c>
    </row>
    <row r="26" spans="1:24" x14ac:dyDescent="0.3">
      <c r="A26">
        <v>59</v>
      </c>
      <c r="B26" t="s">
        <v>41</v>
      </c>
      <c r="C26" t="s">
        <v>32</v>
      </c>
      <c r="D26" t="s">
        <v>42</v>
      </c>
      <c r="E26" t="s">
        <v>202</v>
      </c>
      <c r="F26">
        <v>49</v>
      </c>
      <c r="G26" t="s">
        <v>126</v>
      </c>
      <c r="H26" s="1">
        <v>43474</v>
      </c>
      <c r="I26" s="1"/>
      <c r="J26" t="s">
        <v>131</v>
      </c>
      <c r="K26">
        <v>2019</v>
      </c>
      <c r="L26">
        <v>2661</v>
      </c>
      <c r="M26">
        <v>89</v>
      </c>
      <c r="N26">
        <v>12</v>
      </c>
      <c r="O26">
        <v>6634</v>
      </c>
      <c r="P26" t="s">
        <v>132</v>
      </c>
      <c r="Q26">
        <v>3.32</v>
      </c>
      <c r="R26" t="s">
        <v>129</v>
      </c>
      <c r="S26">
        <v>4</v>
      </c>
      <c r="T26">
        <v>3</v>
      </c>
      <c r="U26">
        <v>52</v>
      </c>
      <c r="V26">
        <v>35</v>
      </c>
      <c r="W26">
        <v>175</v>
      </c>
      <c r="X26">
        <v>5</v>
      </c>
    </row>
    <row r="27" spans="1:24" x14ac:dyDescent="0.3">
      <c r="A27">
        <v>16</v>
      </c>
      <c r="B27" t="s">
        <v>43</v>
      </c>
      <c r="C27" t="s">
        <v>35</v>
      </c>
      <c r="D27" t="s">
        <v>44</v>
      </c>
      <c r="E27" t="s">
        <v>202</v>
      </c>
      <c r="F27">
        <v>30</v>
      </c>
      <c r="G27" t="s">
        <v>130</v>
      </c>
      <c r="H27" s="1">
        <v>44119</v>
      </c>
      <c r="I27" s="1">
        <v>45247</v>
      </c>
      <c r="J27" t="s">
        <v>127</v>
      </c>
      <c r="K27">
        <v>2020</v>
      </c>
      <c r="L27">
        <v>1111</v>
      </c>
      <c r="M27">
        <v>37</v>
      </c>
      <c r="N27">
        <v>17</v>
      </c>
      <c r="O27">
        <v>11579</v>
      </c>
      <c r="P27" t="s">
        <v>128</v>
      </c>
      <c r="Q27">
        <v>3.12</v>
      </c>
      <c r="R27" t="s">
        <v>129</v>
      </c>
      <c r="S27">
        <v>1</v>
      </c>
      <c r="T27">
        <v>4</v>
      </c>
      <c r="U27">
        <v>6</v>
      </c>
      <c r="V27">
        <v>3</v>
      </c>
      <c r="W27">
        <v>1435</v>
      </c>
      <c r="X27">
        <v>478</v>
      </c>
    </row>
    <row r="28" spans="1:24" x14ac:dyDescent="0.3">
      <c r="A28">
        <v>35</v>
      </c>
      <c r="B28" t="s">
        <v>43</v>
      </c>
      <c r="C28" t="s">
        <v>35</v>
      </c>
      <c r="D28" t="s">
        <v>44</v>
      </c>
      <c r="E28" t="s">
        <v>202</v>
      </c>
      <c r="F28">
        <v>46</v>
      </c>
      <c r="G28" t="s">
        <v>126</v>
      </c>
      <c r="H28" s="1">
        <v>45384</v>
      </c>
      <c r="I28" s="1"/>
      <c r="J28" t="s">
        <v>131</v>
      </c>
      <c r="K28">
        <v>2024</v>
      </c>
      <c r="L28">
        <v>746</v>
      </c>
      <c r="M28">
        <v>25</v>
      </c>
      <c r="N28">
        <v>17</v>
      </c>
      <c r="O28">
        <v>11251</v>
      </c>
      <c r="P28" t="s">
        <v>128</v>
      </c>
      <c r="Q28">
        <v>4.03</v>
      </c>
      <c r="R28" t="s">
        <v>133</v>
      </c>
      <c r="S28">
        <v>5</v>
      </c>
      <c r="T28">
        <v>4</v>
      </c>
      <c r="U28">
        <v>28</v>
      </c>
      <c r="V28">
        <v>10</v>
      </c>
      <c r="W28">
        <v>1623</v>
      </c>
      <c r="X28">
        <v>162</v>
      </c>
    </row>
    <row r="29" spans="1:24" x14ac:dyDescent="0.3">
      <c r="A29">
        <v>45</v>
      </c>
      <c r="B29" t="s">
        <v>43</v>
      </c>
      <c r="C29" t="s">
        <v>32</v>
      </c>
      <c r="D29" t="s">
        <v>42</v>
      </c>
      <c r="E29" t="s">
        <v>202</v>
      </c>
      <c r="F29">
        <v>45</v>
      </c>
      <c r="G29" t="s">
        <v>126</v>
      </c>
      <c r="H29" s="1">
        <v>45108</v>
      </c>
      <c r="I29" s="1"/>
      <c r="J29" t="s">
        <v>131</v>
      </c>
      <c r="K29">
        <v>2023</v>
      </c>
      <c r="L29">
        <v>1022</v>
      </c>
      <c r="M29">
        <v>34</v>
      </c>
      <c r="N29">
        <v>17</v>
      </c>
      <c r="O29">
        <v>12548</v>
      </c>
      <c r="P29" t="s">
        <v>128</v>
      </c>
      <c r="Q29">
        <v>4.91</v>
      </c>
      <c r="R29" t="s">
        <v>128</v>
      </c>
      <c r="S29">
        <v>3</v>
      </c>
      <c r="T29">
        <v>5</v>
      </c>
      <c r="U29">
        <v>49</v>
      </c>
      <c r="V29">
        <v>30</v>
      </c>
      <c r="W29">
        <v>1052</v>
      </c>
      <c r="X29">
        <v>35</v>
      </c>
    </row>
    <row r="30" spans="1:24" x14ac:dyDescent="0.3">
      <c r="A30">
        <v>17</v>
      </c>
      <c r="B30" t="s">
        <v>45</v>
      </c>
      <c r="C30" t="s">
        <v>20</v>
      </c>
      <c r="D30" t="s">
        <v>46</v>
      </c>
      <c r="E30" t="s">
        <v>201</v>
      </c>
      <c r="F30">
        <v>37</v>
      </c>
      <c r="G30" t="s">
        <v>130</v>
      </c>
      <c r="H30" s="1">
        <v>43161</v>
      </c>
      <c r="I30" s="1"/>
      <c r="J30" t="s">
        <v>131</v>
      </c>
      <c r="K30">
        <v>2018</v>
      </c>
      <c r="L30">
        <v>2974</v>
      </c>
      <c r="M30">
        <v>99</v>
      </c>
      <c r="N30">
        <v>12</v>
      </c>
      <c r="O30">
        <v>7502</v>
      </c>
      <c r="P30" t="s">
        <v>132</v>
      </c>
      <c r="Q30">
        <v>4.66</v>
      </c>
      <c r="R30" t="s">
        <v>128</v>
      </c>
      <c r="S30">
        <v>1</v>
      </c>
      <c r="T30">
        <v>2</v>
      </c>
      <c r="U30">
        <v>0</v>
      </c>
      <c r="V30">
        <v>24</v>
      </c>
      <c r="W30">
        <v>643</v>
      </c>
      <c r="X30">
        <v>27</v>
      </c>
    </row>
    <row r="31" spans="1:24" x14ac:dyDescent="0.3">
      <c r="A31">
        <v>18</v>
      </c>
      <c r="B31" t="s">
        <v>164</v>
      </c>
      <c r="C31" t="s">
        <v>32</v>
      </c>
      <c r="D31" t="s">
        <v>33</v>
      </c>
      <c r="E31" t="s">
        <v>202</v>
      </c>
      <c r="F31">
        <v>31</v>
      </c>
      <c r="G31" t="s">
        <v>130</v>
      </c>
      <c r="H31" s="1">
        <v>44269</v>
      </c>
      <c r="I31" s="1"/>
      <c r="J31" t="s">
        <v>131</v>
      </c>
      <c r="K31">
        <v>2021</v>
      </c>
      <c r="L31">
        <v>1877</v>
      </c>
      <c r="M31">
        <v>63</v>
      </c>
      <c r="N31">
        <v>1</v>
      </c>
      <c r="O31">
        <v>7566</v>
      </c>
      <c r="P31" t="s">
        <v>132</v>
      </c>
      <c r="Q31">
        <v>4.92</v>
      </c>
      <c r="R31" t="s">
        <v>128</v>
      </c>
      <c r="S31">
        <v>5</v>
      </c>
      <c r="T31">
        <v>5</v>
      </c>
      <c r="U31">
        <v>47</v>
      </c>
      <c r="V31">
        <v>20</v>
      </c>
      <c r="W31">
        <v>217</v>
      </c>
      <c r="X31">
        <v>11</v>
      </c>
    </row>
    <row r="32" spans="1:24" x14ac:dyDescent="0.3">
      <c r="A32">
        <v>19</v>
      </c>
      <c r="B32" t="s">
        <v>165</v>
      </c>
      <c r="C32" t="s">
        <v>35</v>
      </c>
      <c r="D32" t="s">
        <v>36</v>
      </c>
      <c r="E32" t="s">
        <v>202</v>
      </c>
      <c r="F32">
        <v>49</v>
      </c>
      <c r="G32" t="s">
        <v>126</v>
      </c>
      <c r="H32" s="1">
        <v>45493</v>
      </c>
      <c r="I32" s="1"/>
      <c r="J32" t="s">
        <v>131</v>
      </c>
      <c r="K32">
        <v>2024</v>
      </c>
      <c r="L32">
        <v>642</v>
      </c>
      <c r="M32">
        <v>21</v>
      </c>
      <c r="N32">
        <v>12</v>
      </c>
      <c r="O32">
        <v>7044</v>
      </c>
      <c r="P32" t="s">
        <v>132</v>
      </c>
      <c r="Q32">
        <v>2.67</v>
      </c>
      <c r="R32" t="s">
        <v>129</v>
      </c>
      <c r="S32">
        <v>1</v>
      </c>
      <c r="T32">
        <v>2</v>
      </c>
      <c r="U32">
        <v>7</v>
      </c>
      <c r="V32">
        <v>36</v>
      </c>
      <c r="W32">
        <v>604</v>
      </c>
      <c r="X32">
        <v>17</v>
      </c>
    </row>
    <row r="33" spans="1:24" x14ac:dyDescent="0.3">
      <c r="A33">
        <v>20</v>
      </c>
      <c r="B33" t="s">
        <v>47</v>
      </c>
      <c r="C33" t="s">
        <v>20</v>
      </c>
      <c r="D33" t="s">
        <v>46</v>
      </c>
      <c r="E33" t="s">
        <v>202</v>
      </c>
      <c r="F33">
        <v>28</v>
      </c>
      <c r="G33" t="s">
        <v>134</v>
      </c>
      <c r="H33" s="1">
        <v>45536</v>
      </c>
      <c r="I33" s="1"/>
      <c r="J33" t="s">
        <v>131</v>
      </c>
      <c r="K33">
        <v>2024</v>
      </c>
      <c r="L33">
        <v>599</v>
      </c>
      <c r="M33">
        <v>20</v>
      </c>
      <c r="N33">
        <v>12</v>
      </c>
      <c r="O33">
        <v>14972</v>
      </c>
      <c r="P33" t="s">
        <v>128</v>
      </c>
      <c r="Q33">
        <v>4.29</v>
      </c>
      <c r="R33" t="s">
        <v>133</v>
      </c>
      <c r="S33">
        <v>2</v>
      </c>
      <c r="T33">
        <v>3</v>
      </c>
      <c r="U33">
        <v>8</v>
      </c>
      <c r="V33">
        <v>19</v>
      </c>
      <c r="W33">
        <v>1036</v>
      </c>
      <c r="X33">
        <v>55</v>
      </c>
    </row>
    <row r="34" spans="1:24" x14ac:dyDescent="0.3">
      <c r="A34">
        <v>26</v>
      </c>
      <c r="B34" t="s">
        <v>47</v>
      </c>
      <c r="C34" t="s">
        <v>35</v>
      </c>
      <c r="D34" t="s">
        <v>39</v>
      </c>
      <c r="E34" t="s">
        <v>202</v>
      </c>
      <c r="F34">
        <v>49</v>
      </c>
      <c r="G34" t="s">
        <v>126</v>
      </c>
      <c r="H34" s="1">
        <v>44549</v>
      </c>
      <c r="I34" s="1"/>
      <c r="J34" t="s">
        <v>131</v>
      </c>
      <c r="K34">
        <v>2021</v>
      </c>
      <c r="L34">
        <v>1598</v>
      </c>
      <c r="M34">
        <v>53</v>
      </c>
      <c r="N34">
        <v>0</v>
      </c>
      <c r="O34">
        <v>6662</v>
      </c>
      <c r="P34" t="s">
        <v>132</v>
      </c>
      <c r="Q34">
        <v>4.9400000000000004</v>
      </c>
      <c r="R34" t="s">
        <v>128</v>
      </c>
      <c r="S34">
        <v>2</v>
      </c>
      <c r="T34">
        <v>4</v>
      </c>
      <c r="U34">
        <v>11</v>
      </c>
      <c r="V34">
        <v>21</v>
      </c>
      <c r="W34">
        <v>1702</v>
      </c>
      <c r="X34">
        <v>81</v>
      </c>
    </row>
    <row r="35" spans="1:24" x14ac:dyDescent="0.3">
      <c r="A35">
        <v>21</v>
      </c>
      <c r="B35" t="s">
        <v>48</v>
      </c>
      <c r="C35" t="s">
        <v>27</v>
      </c>
      <c r="D35" t="s">
        <v>49</v>
      </c>
      <c r="E35" t="s">
        <v>202</v>
      </c>
      <c r="F35">
        <v>38</v>
      </c>
      <c r="G35" t="s">
        <v>130</v>
      </c>
      <c r="H35" s="1">
        <v>43398</v>
      </c>
      <c r="I35" s="1">
        <v>44700</v>
      </c>
      <c r="J35" t="s">
        <v>127</v>
      </c>
      <c r="K35">
        <v>2018</v>
      </c>
      <c r="L35">
        <v>1295</v>
      </c>
      <c r="M35">
        <v>43</v>
      </c>
      <c r="N35">
        <v>7</v>
      </c>
      <c r="O35">
        <v>8345</v>
      </c>
      <c r="P35" t="s">
        <v>132</v>
      </c>
      <c r="Q35">
        <v>2.83</v>
      </c>
      <c r="R35" t="s">
        <v>129</v>
      </c>
      <c r="S35">
        <v>3</v>
      </c>
      <c r="T35">
        <v>1</v>
      </c>
      <c r="U35">
        <v>23</v>
      </c>
      <c r="V35">
        <v>18</v>
      </c>
      <c r="W35">
        <v>423</v>
      </c>
      <c r="X35">
        <v>24</v>
      </c>
    </row>
    <row r="36" spans="1:24" x14ac:dyDescent="0.3">
      <c r="A36">
        <v>22</v>
      </c>
      <c r="B36" t="s">
        <v>50</v>
      </c>
      <c r="C36" t="s">
        <v>32</v>
      </c>
      <c r="D36" t="s">
        <v>33</v>
      </c>
      <c r="E36" t="s">
        <v>202</v>
      </c>
      <c r="F36">
        <v>43</v>
      </c>
      <c r="G36" t="s">
        <v>126</v>
      </c>
      <c r="H36" s="1">
        <v>45326</v>
      </c>
      <c r="I36" s="1"/>
      <c r="J36" t="s">
        <v>131</v>
      </c>
      <c r="K36">
        <v>2024</v>
      </c>
      <c r="L36">
        <v>818</v>
      </c>
      <c r="M36">
        <v>27</v>
      </c>
      <c r="N36">
        <v>3</v>
      </c>
      <c r="O36">
        <v>5697</v>
      </c>
      <c r="P36" t="s">
        <v>129</v>
      </c>
      <c r="Q36">
        <v>4.8499999999999996</v>
      </c>
      <c r="R36" t="s">
        <v>128</v>
      </c>
      <c r="S36">
        <v>2</v>
      </c>
      <c r="T36">
        <v>3</v>
      </c>
      <c r="U36">
        <v>56</v>
      </c>
      <c r="V36">
        <v>6</v>
      </c>
      <c r="W36">
        <v>1620</v>
      </c>
      <c r="X36">
        <v>270</v>
      </c>
    </row>
    <row r="37" spans="1:24" x14ac:dyDescent="0.3">
      <c r="A37">
        <v>63</v>
      </c>
      <c r="B37" t="s">
        <v>50</v>
      </c>
      <c r="C37" t="s">
        <v>20</v>
      </c>
      <c r="D37" t="s">
        <v>21</v>
      </c>
      <c r="E37" t="s">
        <v>202</v>
      </c>
      <c r="F37">
        <v>30</v>
      </c>
      <c r="G37" t="s">
        <v>130</v>
      </c>
      <c r="H37" s="1">
        <v>43693</v>
      </c>
      <c r="I37" s="1"/>
      <c r="J37" t="s">
        <v>131</v>
      </c>
      <c r="K37">
        <v>2019</v>
      </c>
      <c r="L37">
        <v>2454</v>
      </c>
      <c r="M37">
        <v>82</v>
      </c>
      <c r="N37">
        <v>0</v>
      </c>
      <c r="O37">
        <v>10798</v>
      </c>
      <c r="P37" t="s">
        <v>128</v>
      </c>
      <c r="Q37">
        <v>3.35</v>
      </c>
      <c r="R37" t="s">
        <v>129</v>
      </c>
      <c r="S37">
        <v>5</v>
      </c>
      <c r="T37">
        <v>3</v>
      </c>
      <c r="U37">
        <v>18</v>
      </c>
      <c r="V37">
        <v>19</v>
      </c>
      <c r="W37">
        <v>1815</v>
      </c>
      <c r="X37">
        <v>96</v>
      </c>
    </row>
    <row r="38" spans="1:24" x14ac:dyDescent="0.3">
      <c r="A38">
        <v>23</v>
      </c>
      <c r="B38" t="s">
        <v>51</v>
      </c>
      <c r="C38" t="s">
        <v>20</v>
      </c>
      <c r="D38" t="s">
        <v>46</v>
      </c>
      <c r="E38" t="s">
        <v>202</v>
      </c>
      <c r="F38">
        <v>43</v>
      </c>
      <c r="G38" t="s">
        <v>126</v>
      </c>
      <c r="H38" s="1">
        <v>43737</v>
      </c>
      <c r="I38" s="1"/>
      <c r="J38" t="s">
        <v>131</v>
      </c>
      <c r="K38">
        <v>2019</v>
      </c>
      <c r="L38">
        <v>2402</v>
      </c>
      <c r="M38">
        <v>80</v>
      </c>
      <c r="N38">
        <v>8</v>
      </c>
      <c r="O38">
        <v>14391</v>
      </c>
      <c r="P38" t="s">
        <v>128</v>
      </c>
      <c r="Q38">
        <v>4.63</v>
      </c>
      <c r="R38" t="s">
        <v>128</v>
      </c>
      <c r="S38">
        <v>5</v>
      </c>
      <c r="T38">
        <v>4</v>
      </c>
      <c r="U38">
        <v>57</v>
      </c>
      <c r="V38">
        <v>3</v>
      </c>
      <c r="W38">
        <v>289</v>
      </c>
      <c r="X38">
        <v>96</v>
      </c>
    </row>
    <row r="39" spans="1:24" x14ac:dyDescent="0.3">
      <c r="A39">
        <v>53</v>
      </c>
      <c r="B39" t="s">
        <v>51</v>
      </c>
      <c r="C39" t="s">
        <v>32</v>
      </c>
      <c r="D39" t="s">
        <v>42</v>
      </c>
      <c r="E39" t="s">
        <v>202</v>
      </c>
      <c r="F39">
        <v>36</v>
      </c>
      <c r="G39" t="s">
        <v>130</v>
      </c>
      <c r="H39" s="1">
        <v>45584</v>
      </c>
      <c r="I39" s="1"/>
      <c r="J39" t="s">
        <v>131</v>
      </c>
      <c r="K39">
        <v>2024</v>
      </c>
      <c r="L39">
        <v>545</v>
      </c>
      <c r="M39">
        <v>18</v>
      </c>
      <c r="N39">
        <v>18</v>
      </c>
      <c r="O39">
        <v>8871</v>
      </c>
      <c r="P39" t="s">
        <v>132</v>
      </c>
      <c r="Q39">
        <v>4.6500000000000004</v>
      </c>
      <c r="R39" t="s">
        <v>128</v>
      </c>
      <c r="S39">
        <v>4</v>
      </c>
      <c r="T39">
        <v>3</v>
      </c>
      <c r="U39">
        <v>39</v>
      </c>
      <c r="V39">
        <v>3</v>
      </c>
      <c r="W39">
        <v>1348</v>
      </c>
      <c r="X39">
        <v>449</v>
      </c>
    </row>
    <row r="40" spans="1:24" x14ac:dyDescent="0.3">
      <c r="A40">
        <v>24</v>
      </c>
      <c r="B40" t="s">
        <v>52</v>
      </c>
      <c r="C40" t="s">
        <v>17</v>
      </c>
      <c r="D40" t="s">
        <v>53</v>
      </c>
      <c r="E40" t="s">
        <v>201</v>
      </c>
      <c r="F40">
        <v>42</v>
      </c>
      <c r="G40" t="s">
        <v>126</v>
      </c>
      <c r="H40" s="1">
        <v>44835</v>
      </c>
      <c r="I40" s="1"/>
      <c r="J40" t="s">
        <v>131</v>
      </c>
      <c r="K40">
        <v>2022</v>
      </c>
      <c r="L40">
        <v>1299</v>
      </c>
      <c r="M40">
        <v>43</v>
      </c>
      <c r="N40">
        <v>13</v>
      </c>
      <c r="O40">
        <v>8291</v>
      </c>
      <c r="P40" t="s">
        <v>132</v>
      </c>
      <c r="Q40">
        <v>2.9</v>
      </c>
      <c r="R40" t="s">
        <v>129</v>
      </c>
      <c r="S40">
        <v>4</v>
      </c>
      <c r="T40">
        <v>5</v>
      </c>
      <c r="U40">
        <v>35</v>
      </c>
      <c r="V40">
        <v>0</v>
      </c>
      <c r="W40">
        <v>329</v>
      </c>
    </row>
    <row r="41" spans="1:24" x14ac:dyDescent="0.3">
      <c r="A41">
        <v>92</v>
      </c>
      <c r="B41" t="s">
        <v>52</v>
      </c>
      <c r="C41" t="s">
        <v>23</v>
      </c>
      <c r="D41" t="s">
        <v>30</v>
      </c>
      <c r="E41" t="s">
        <v>201</v>
      </c>
      <c r="F41">
        <v>28</v>
      </c>
      <c r="G41" t="s">
        <v>134</v>
      </c>
      <c r="H41" s="1">
        <v>44719</v>
      </c>
      <c r="I41" s="1"/>
      <c r="J41" t="s">
        <v>131</v>
      </c>
      <c r="K41">
        <v>2022</v>
      </c>
      <c r="L41">
        <v>1425</v>
      </c>
      <c r="M41">
        <v>48</v>
      </c>
      <c r="N41">
        <v>3</v>
      </c>
      <c r="O41">
        <v>6248</v>
      </c>
      <c r="P41" t="s">
        <v>132</v>
      </c>
      <c r="Q41">
        <v>4.41</v>
      </c>
      <c r="R41" t="s">
        <v>133</v>
      </c>
      <c r="S41">
        <v>3</v>
      </c>
      <c r="T41">
        <v>3</v>
      </c>
      <c r="U41">
        <v>0</v>
      </c>
      <c r="V41">
        <v>31</v>
      </c>
      <c r="W41">
        <v>1629</v>
      </c>
      <c r="X41">
        <v>53</v>
      </c>
    </row>
    <row r="42" spans="1:24" x14ac:dyDescent="0.3">
      <c r="A42">
        <v>27</v>
      </c>
      <c r="B42" t="s">
        <v>54</v>
      </c>
      <c r="C42" t="s">
        <v>32</v>
      </c>
      <c r="D42" t="s">
        <v>33</v>
      </c>
      <c r="E42" t="s">
        <v>201</v>
      </c>
      <c r="F42">
        <v>29</v>
      </c>
      <c r="G42" t="s">
        <v>134</v>
      </c>
      <c r="H42" s="1">
        <v>44117</v>
      </c>
      <c r="I42" s="1"/>
      <c r="J42" t="s">
        <v>131</v>
      </c>
      <c r="K42">
        <v>2020</v>
      </c>
      <c r="L42">
        <v>2021</v>
      </c>
      <c r="M42">
        <v>67</v>
      </c>
      <c r="N42">
        <v>9</v>
      </c>
      <c r="O42">
        <v>7269</v>
      </c>
      <c r="P42" t="s">
        <v>132</v>
      </c>
      <c r="Q42">
        <v>4.54</v>
      </c>
      <c r="R42" t="s">
        <v>128</v>
      </c>
      <c r="S42">
        <v>4</v>
      </c>
      <c r="T42">
        <v>3</v>
      </c>
      <c r="U42">
        <v>52</v>
      </c>
      <c r="V42">
        <v>14</v>
      </c>
      <c r="W42">
        <v>556</v>
      </c>
      <c r="X42">
        <v>40</v>
      </c>
    </row>
    <row r="43" spans="1:24" x14ac:dyDescent="0.3">
      <c r="A43">
        <v>28</v>
      </c>
      <c r="B43" t="s">
        <v>55</v>
      </c>
      <c r="C43" t="s">
        <v>35</v>
      </c>
      <c r="D43" t="s">
        <v>56</v>
      </c>
      <c r="E43" t="s">
        <v>201</v>
      </c>
      <c r="F43">
        <v>42</v>
      </c>
      <c r="G43" t="s">
        <v>126</v>
      </c>
      <c r="H43" s="1">
        <v>43892</v>
      </c>
      <c r="I43" s="1"/>
      <c r="J43" t="s">
        <v>131</v>
      </c>
      <c r="K43">
        <v>2020</v>
      </c>
      <c r="L43">
        <v>2255</v>
      </c>
      <c r="M43">
        <v>75</v>
      </c>
      <c r="N43">
        <v>0</v>
      </c>
      <c r="O43">
        <v>12346</v>
      </c>
      <c r="P43" t="s">
        <v>128</v>
      </c>
      <c r="Q43">
        <v>3.5</v>
      </c>
      <c r="R43" t="s">
        <v>129</v>
      </c>
      <c r="S43">
        <v>5</v>
      </c>
      <c r="T43">
        <v>3</v>
      </c>
      <c r="U43">
        <v>7</v>
      </c>
      <c r="V43">
        <v>16</v>
      </c>
      <c r="W43">
        <v>465</v>
      </c>
      <c r="X43">
        <v>29</v>
      </c>
    </row>
    <row r="44" spans="1:24" x14ac:dyDescent="0.3">
      <c r="A44">
        <v>30</v>
      </c>
      <c r="B44" t="s">
        <v>57</v>
      </c>
      <c r="C44" t="s">
        <v>20</v>
      </c>
      <c r="D44" t="s">
        <v>46</v>
      </c>
      <c r="E44" t="s">
        <v>201</v>
      </c>
      <c r="F44">
        <v>43</v>
      </c>
      <c r="G44" t="s">
        <v>126</v>
      </c>
      <c r="H44" s="1">
        <v>45306</v>
      </c>
      <c r="I44" s="1"/>
      <c r="J44" t="s">
        <v>131</v>
      </c>
      <c r="K44">
        <v>2024</v>
      </c>
      <c r="L44">
        <v>825</v>
      </c>
      <c r="M44">
        <v>28</v>
      </c>
      <c r="N44">
        <v>16</v>
      </c>
      <c r="O44">
        <v>9409</v>
      </c>
      <c r="P44" t="s">
        <v>132</v>
      </c>
      <c r="Q44">
        <v>4.0599999999999996</v>
      </c>
      <c r="R44" t="s">
        <v>133</v>
      </c>
      <c r="S44">
        <v>1</v>
      </c>
      <c r="T44">
        <v>3</v>
      </c>
      <c r="U44">
        <v>19</v>
      </c>
      <c r="V44">
        <v>26</v>
      </c>
      <c r="W44">
        <v>768</v>
      </c>
      <c r="X44">
        <v>30</v>
      </c>
    </row>
    <row r="45" spans="1:24" x14ac:dyDescent="0.3">
      <c r="A45">
        <v>31</v>
      </c>
      <c r="B45" t="s">
        <v>58</v>
      </c>
      <c r="C45" t="s">
        <v>32</v>
      </c>
      <c r="D45" t="s">
        <v>42</v>
      </c>
      <c r="E45" t="s">
        <v>201</v>
      </c>
      <c r="F45">
        <v>41</v>
      </c>
      <c r="G45" t="s">
        <v>126</v>
      </c>
      <c r="H45" s="1">
        <v>44312</v>
      </c>
      <c r="I45" s="1"/>
      <c r="J45" t="s">
        <v>131</v>
      </c>
      <c r="K45">
        <v>2021</v>
      </c>
      <c r="L45">
        <v>1826</v>
      </c>
      <c r="M45">
        <v>61</v>
      </c>
      <c r="N45">
        <v>9</v>
      </c>
      <c r="O45">
        <v>13324</v>
      </c>
      <c r="P45" t="s">
        <v>128</v>
      </c>
      <c r="Q45">
        <v>3.25</v>
      </c>
      <c r="R45" t="s">
        <v>129</v>
      </c>
      <c r="S45">
        <v>5</v>
      </c>
      <c r="T45">
        <v>1</v>
      </c>
      <c r="U45">
        <v>18</v>
      </c>
      <c r="V45">
        <v>13</v>
      </c>
      <c r="W45">
        <v>980</v>
      </c>
      <c r="X45">
        <v>75</v>
      </c>
    </row>
    <row r="46" spans="1:24" x14ac:dyDescent="0.3">
      <c r="A46">
        <v>32</v>
      </c>
      <c r="B46" t="s">
        <v>59</v>
      </c>
      <c r="C46" t="s">
        <v>20</v>
      </c>
      <c r="D46" t="s">
        <v>46</v>
      </c>
      <c r="E46" t="s">
        <v>202</v>
      </c>
      <c r="F46">
        <v>38</v>
      </c>
      <c r="G46" t="s">
        <v>130</v>
      </c>
      <c r="H46" s="1">
        <v>45585</v>
      </c>
      <c r="I46" s="1"/>
      <c r="J46" t="s">
        <v>131</v>
      </c>
      <c r="K46">
        <v>2024</v>
      </c>
      <c r="L46">
        <v>553</v>
      </c>
      <c r="M46">
        <v>18</v>
      </c>
      <c r="N46">
        <v>9</v>
      </c>
      <c r="O46">
        <v>11752</v>
      </c>
      <c r="P46" t="s">
        <v>128</v>
      </c>
      <c r="Q46">
        <v>4.4800000000000004</v>
      </c>
      <c r="R46" t="s">
        <v>133</v>
      </c>
      <c r="S46">
        <v>2</v>
      </c>
      <c r="T46">
        <v>1</v>
      </c>
      <c r="U46">
        <v>32</v>
      </c>
      <c r="V46">
        <v>40</v>
      </c>
      <c r="W46">
        <v>1368</v>
      </c>
      <c r="X46">
        <v>34</v>
      </c>
    </row>
    <row r="47" spans="1:24" x14ac:dyDescent="0.3">
      <c r="A47">
        <v>33</v>
      </c>
      <c r="B47" t="s">
        <v>60</v>
      </c>
      <c r="C47" t="s">
        <v>27</v>
      </c>
      <c r="D47" t="s">
        <v>49</v>
      </c>
      <c r="E47" t="s">
        <v>201</v>
      </c>
      <c r="F47">
        <v>26</v>
      </c>
      <c r="G47" t="s">
        <v>134</v>
      </c>
      <c r="H47" s="1">
        <v>43483</v>
      </c>
      <c r="I47" s="1"/>
      <c r="J47" t="s">
        <v>131</v>
      </c>
      <c r="K47">
        <v>2019</v>
      </c>
      <c r="L47">
        <v>2662</v>
      </c>
      <c r="M47">
        <v>89</v>
      </c>
      <c r="N47">
        <v>2</v>
      </c>
      <c r="O47">
        <v>4400</v>
      </c>
      <c r="P47" t="s">
        <v>129</v>
      </c>
      <c r="Q47">
        <v>2.62</v>
      </c>
      <c r="R47" t="s">
        <v>129</v>
      </c>
      <c r="S47">
        <v>4</v>
      </c>
      <c r="T47">
        <v>5</v>
      </c>
      <c r="U47">
        <v>29</v>
      </c>
      <c r="V47">
        <v>26</v>
      </c>
      <c r="W47">
        <v>1914</v>
      </c>
      <c r="X47">
        <v>74</v>
      </c>
    </row>
    <row r="48" spans="1:24" x14ac:dyDescent="0.3">
      <c r="A48">
        <v>36</v>
      </c>
      <c r="B48" t="s">
        <v>60</v>
      </c>
      <c r="C48" t="s">
        <v>32</v>
      </c>
      <c r="D48" t="s">
        <v>42</v>
      </c>
      <c r="E48" t="s">
        <v>201</v>
      </c>
      <c r="F48">
        <v>30</v>
      </c>
      <c r="G48" t="s">
        <v>130</v>
      </c>
      <c r="H48" s="1">
        <v>44944</v>
      </c>
      <c r="I48" s="1"/>
      <c r="J48" t="s">
        <v>131</v>
      </c>
      <c r="K48">
        <v>2023</v>
      </c>
      <c r="L48">
        <v>1195</v>
      </c>
      <c r="M48">
        <v>40</v>
      </c>
      <c r="N48">
        <v>8</v>
      </c>
      <c r="O48">
        <v>11206</v>
      </c>
      <c r="P48" t="s">
        <v>128</v>
      </c>
      <c r="Q48">
        <v>2.69</v>
      </c>
      <c r="R48" t="s">
        <v>129</v>
      </c>
      <c r="S48">
        <v>3</v>
      </c>
      <c r="T48">
        <v>2</v>
      </c>
      <c r="U48">
        <v>21</v>
      </c>
      <c r="V48">
        <v>20</v>
      </c>
      <c r="W48">
        <v>1928</v>
      </c>
      <c r="X48">
        <v>96</v>
      </c>
    </row>
    <row r="49" spans="1:24" x14ac:dyDescent="0.3">
      <c r="A49">
        <v>55</v>
      </c>
      <c r="B49" t="s">
        <v>60</v>
      </c>
      <c r="C49" t="s">
        <v>20</v>
      </c>
      <c r="D49" t="s">
        <v>46</v>
      </c>
      <c r="E49" t="s">
        <v>201</v>
      </c>
      <c r="F49">
        <v>24</v>
      </c>
      <c r="G49" t="s">
        <v>134</v>
      </c>
      <c r="H49" s="1">
        <v>45025</v>
      </c>
      <c r="I49" s="1"/>
      <c r="J49" t="s">
        <v>131</v>
      </c>
      <c r="K49">
        <v>2023</v>
      </c>
      <c r="L49">
        <v>1109</v>
      </c>
      <c r="M49">
        <v>37</v>
      </c>
      <c r="N49">
        <v>13</v>
      </c>
      <c r="O49">
        <v>7824</v>
      </c>
      <c r="P49" t="s">
        <v>132</v>
      </c>
      <c r="Q49">
        <v>4.8099999999999996</v>
      </c>
      <c r="R49" t="s">
        <v>128</v>
      </c>
      <c r="S49">
        <v>5</v>
      </c>
      <c r="T49">
        <v>2</v>
      </c>
      <c r="U49">
        <v>7</v>
      </c>
      <c r="V49">
        <v>34</v>
      </c>
      <c r="W49">
        <v>560</v>
      </c>
      <c r="X49">
        <v>16</v>
      </c>
    </row>
    <row r="50" spans="1:24" x14ac:dyDescent="0.3">
      <c r="A50">
        <v>37</v>
      </c>
      <c r="B50" t="s">
        <v>61</v>
      </c>
      <c r="C50" t="s">
        <v>20</v>
      </c>
      <c r="D50" t="s">
        <v>21</v>
      </c>
      <c r="E50" t="s">
        <v>201</v>
      </c>
      <c r="F50">
        <v>35</v>
      </c>
      <c r="G50" t="s">
        <v>130</v>
      </c>
      <c r="H50" s="1">
        <v>43431</v>
      </c>
      <c r="I50" s="1">
        <v>43934</v>
      </c>
      <c r="J50" t="s">
        <v>127</v>
      </c>
      <c r="K50">
        <v>2018</v>
      </c>
      <c r="L50">
        <v>502</v>
      </c>
      <c r="M50">
        <v>17</v>
      </c>
      <c r="N50">
        <v>1</v>
      </c>
      <c r="O50">
        <v>10678</v>
      </c>
      <c r="P50" t="s">
        <v>128</v>
      </c>
      <c r="Q50">
        <v>3.33</v>
      </c>
      <c r="R50" t="s">
        <v>129</v>
      </c>
      <c r="S50">
        <v>4</v>
      </c>
      <c r="T50">
        <v>4</v>
      </c>
      <c r="U50">
        <v>13</v>
      </c>
      <c r="V50">
        <v>26</v>
      </c>
      <c r="W50">
        <v>897</v>
      </c>
      <c r="X50">
        <v>34</v>
      </c>
    </row>
    <row r="51" spans="1:24" x14ac:dyDescent="0.3">
      <c r="A51">
        <v>102</v>
      </c>
      <c r="B51" t="s">
        <v>61</v>
      </c>
      <c r="C51" t="s">
        <v>23</v>
      </c>
      <c r="D51" t="s">
        <v>71</v>
      </c>
      <c r="E51" t="s">
        <v>201</v>
      </c>
      <c r="F51">
        <v>31</v>
      </c>
      <c r="G51" t="s">
        <v>130</v>
      </c>
      <c r="H51" s="1">
        <v>44533</v>
      </c>
      <c r="I51" s="1"/>
      <c r="J51" t="s">
        <v>131</v>
      </c>
      <c r="K51">
        <v>2021</v>
      </c>
      <c r="L51">
        <v>1598</v>
      </c>
      <c r="M51">
        <v>53</v>
      </c>
      <c r="N51">
        <v>16</v>
      </c>
      <c r="O51">
        <v>13157</v>
      </c>
      <c r="P51" t="s">
        <v>128</v>
      </c>
      <c r="Q51">
        <v>3.44</v>
      </c>
      <c r="R51" t="s">
        <v>129</v>
      </c>
      <c r="S51">
        <v>3</v>
      </c>
      <c r="T51">
        <v>2</v>
      </c>
      <c r="U51">
        <v>5</v>
      </c>
      <c r="V51">
        <v>27</v>
      </c>
      <c r="W51">
        <v>1141</v>
      </c>
      <c r="X51">
        <v>42</v>
      </c>
    </row>
    <row r="52" spans="1:24" x14ac:dyDescent="0.3">
      <c r="A52">
        <v>38</v>
      </c>
      <c r="B52" t="s">
        <v>166</v>
      </c>
      <c r="C52" t="s">
        <v>20</v>
      </c>
      <c r="D52" t="s">
        <v>46</v>
      </c>
      <c r="E52" t="s">
        <v>202</v>
      </c>
      <c r="F52">
        <v>33</v>
      </c>
      <c r="G52" t="s">
        <v>130</v>
      </c>
      <c r="H52" s="1">
        <v>43181</v>
      </c>
      <c r="I52" s="1"/>
      <c r="J52" t="s">
        <v>131</v>
      </c>
      <c r="K52">
        <v>2018</v>
      </c>
      <c r="L52">
        <v>2949</v>
      </c>
      <c r="M52">
        <v>98</v>
      </c>
      <c r="N52">
        <v>17</v>
      </c>
      <c r="O52">
        <v>8892</v>
      </c>
      <c r="P52" t="s">
        <v>132</v>
      </c>
      <c r="Q52">
        <v>4.38</v>
      </c>
      <c r="R52" t="s">
        <v>133</v>
      </c>
      <c r="S52">
        <v>4</v>
      </c>
      <c r="T52">
        <v>5</v>
      </c>
      <c r="U52">
        <v>51</v>
      </c>
      <c r="V52">
        <v>38</v>
      </c>
      <c r="W52">
        <v>1938</v>
      </c>
      <c r="X52">
        <v>51</v>
      </c>
    </row>
    <row r="53" spans="1:24" x14ac:dyDescent="0.3">
      <c r="A53">
        <v>89</v>
      </c>
      <c r="B53" t="s">
        <v>166</v>
      </c>
      <c r="C53" t="s">
        <v>27</v>
      </c>
      <c r="D53" t="s">
        <v>49</v>
      </c>
      <c r="E53" t="s">
        <v>202</v>
      </c>
      <c r="F53">
        <v>45</v>
      </c>
      <c r="G53" t="s">
        <v>126</v>
      </c>
      <c r="H53" s="1">
        <v>44538</v>
      </c>
      <c r="I53" s="1">
        <v>44861</v>
      </c>
      <c r="J53" t="s">
        <v>127</v>
      </c>
      <c r="K53">
        <v>2021</v>
      </c>
      <c r="L53">
        <v>317</v>
      </c>
      <c r="M53">
        <v>11</v>
      </c>
      <c r="N53">
        <v>6</v>
      </c>
      <c r="O53">
        <v>14373</v>
      </c>
      <c r="P53" t="s">
        <v>128</v>
      </c>
      <c r="Q53">
        <v>4.93</v>
      </c>
      <c r="R53" t="s">
        <v>128</v>
      </c>
      <c r="S53">
        <v>1</v>
      </c>
      <c r="T53">
        <v>5</v>
      </c>
      <c r="U53">
        <v>24</v>
      </c>
      <c r="V53">
        <v>26</v>
      </c>
      <c r="W53">
        <v>1029</v>
      </c>
      <c r="X53">
        <v>40</v>
      </c>
    </row>
    <row r="54" spans="1:24" x14ac:dyDescent="0.3">
      <c r="A54">
        <v>40</v>
      </c>
      <c r="B54" t="s">
        <v>167</v>
      </c>
      <c r="C54" t="s">
        <v>32</v>
      </c>
      <c r="D54" t="s">
        <v>42</v>
      </c>
      <c r="E54" t="s">
        <v>201</v>
      </c>
      <c r="F54">
        <v>49</v>
      </c>
      <c r="G54" t="s">
        <v>126</v>
      </c>
      <c r="H54" s="1">
        <v>45525</v>
      </c>
      <c r="I54" s="1"/>
      <c r="J54" t="s">
        <v>131</v>
      </c>
      <c r="K54">
        <v>2024</v>
      </c>
      <c r="L54">
        <v>612</v>
      </c>
      <c r="M54">
        <v>20</v>
      </c>
      <c r="N54">
        <v>10</v>
      </c>
      <c r="O54">
        <v>11564</v>
      </c>
      <c r="P54" t="s">
        <v>128</v>
      </c>
      <c r="Q54">
        <v>2.95</v>
      </c>
      <c r="R54" t="s">
        <v>129</v>
      </c>
      <c r="S54">
        <v>3</v>
      </c>
      <c r="T54">
        <v>4</v>
      </c>
      <c r="U54">
        <v>13</v>
      </c>
      <c r="V54">
        <v>29</v>
      </c>
      <c r="W54">
        <v>769</v>
      </c>
      <c r="X54">
        <v>27</v>
      </c>
    </row>
    <row r="55" spans="1:24" x14ac:dyDescent="0.3">
      <c r="A55">
        <v>41</v>
      </c>
      <c r="B55" t="s">
        <v>62</v>
      </c>
      <c r="C55" t="s">
        <v>27</v>
      </c>
      <c r="D55" t="s">
        <v>49</v>
      </c>
      <c r="E55" t="s">
        <v>202</v>
      </c>
      <c r="F55">
        <v>22</v>
      </c>
      <c r="G55" t="s">
        <v>134</v>
      </c>
      <c r="H55" s="1">
        <v>44653</v>
      </c>
      <c r="I55" s="1"/>
      <c r="J55" t="s">
        <v>131</v>
      </c>
      <c r="K55">
        <v>2022</v>
      </c>
      <c r="L55">
        <v>1474</v>
      </c>
      <c r="M55">
        <v>49</v>
      </c>
      <c r="N55">
        <v>20</v>
      </c>
      <c r="O55">
        <v>12837</v>
      </c>
      <c r="P55" t="s">
        <v>128</v>
      </c>
      <c r="Q55">
        <v>2.63</v>
      </c>
      <c r="R55" t="s">
        <v>129</v>
      </c>
      <c r="S55">
        <v>3</v>
      </c>
      <c r="T55">
        <v>2</v>
      </c>
      <c r="U55">
        <v>4</v>
      </c>
      <c r="V55">
        <v>2</v>
      </c>
      <c r="W55">
        <v>1644</v>
      </c>
      <c r="X55">
        <v>822</v>
      </c>
    </row>
    <row r="56" spans="1:24" x14ac:dyDescent="0.3">
      <c r="A56">
        <v>42</v>
      </c>
      <c r="B56" t="s">
        <v>168</v>
      </c>
      <c r="C56" t="s">
        <v>35</v>
      </c>
      <c r="D56" t="s">
        <v>39</v>
      </c>
      <c r="E56" t="s">
        <v>202</v>
      </c>
      <c r="F56">
        <v>37</v>
      </c>
      <c r="G56" t="s">
        <v>130</v>
      </c>
      <c r="H56" s="1">
        <v>44113</v>
      </c>
      <c r="I56" s="1">
        <v>44184</v>
      </c>
      <c r="J56" t="s">
        <v>127</v>
      </c>
      <c r="K56">
        <v>2020</v>
      </c>
      <c r="L56">
        <v>63</v>
      </c>
      <c r="M56">
        <v>2</v>
      </c>
      <c r="N56">
        <v>8</v>
      </c>
      <c r="O56">
        <v>14968</v>
      </c>
      <c r="P56" t="s">
        <v>128</v>
      </c>
      <c r="Q56">
        <v>2.79</v>
      </c>
      <c r="R56" t="s">
        <v>129</v>
      </c>
      <c r="S56">
        <v>2</v>
      </c>
      <c r="T56">
        <v>4</v>
      </c>
      <c r="U56">
        <v>49</v>
      </c>
      <c r="V56">
        <v>23</v>
      </c>
      <c r="W56">
        <v>443</v>
      </c>
      <c r="X56">
        <v>19</v>
      </c>
    </row>
    <row r="57" spans="1:24" x14ac:dyDescent="0.3">
      <c r="A57">
        <v>104</v>
      </c>
      <c r="B57" t="s">
        <v>168</v>
      </c>
      <c r="C57" t="s">
        <v>20</v>
      </c>
      <c r="D57" t="s">
        <v>46</v>
      </c>
      <c r="E57" t="s">
        <v>202</v>
      </c>
      <c r="F57">
        <v>27</v>
      </c>
      <c r="G57" t="s">
        <v>134</v>
      </c>
      <c r="H57" s="1">
        <v>45257</v>
      </c>
      <c r="I57" s="1"/>
      <c r="J57" t="s">
        <v>131</v>
      </c>
      <c r="K57">
        <v>2023</v>
      </c>
      <c r="L57">
        <v>876</v>
      </c>
      <c r="M57">
        <v>29</v>
      </c>
      <c r="N57">
        <v>14</v>
      </c>
      <c r="O57">
        <v>6962</v>
      </c>
      <c r="P57" t="s">
        <v>132</v>
      </c>
      <c r="Q57">
        <v>4.58</v>
      </c>
      <c r="R57" t="s">
        <v>128</v>
      </c>
      <c r="S57">
        <v>5</v>
      </c>
      <c r="T57">
        <v>2</v>
      </c>
      <c r="U57">
        <v>2</v>
      </c>
      <c r="V57">
        <v>26</v>
      </c>
      <c r="W57">
        <v>846</v>
      </c>
      <c r="X57">
        <v>33</v>
      </c>
    </row>
    <row r="58" spans="1:24" x14ac:dyDescent="0.3">
      <c r="A58">
        <v>43</v>
      </c>
      <c r="B58" t="s">
        <v>169</v>
      </c>
      <c r="C58" t="s">
        <v>20</v>
      </c>
      <c r="D58" t="s">
        <v>46</v>
      </c>
      <c r="E58" t="s">
        <v>201</v>
      </c>
      <c r="F58">
        <v>40</v>
      </c>
      <c r="G58" t="s">
        <v>130</v>
      </c>
      <c r="H58" s="1">
        <v>45588</v>
      </c>
      <c r="I58" s="1"/>
      <c r="J58" t="s">
        <v>131</v>
      </c>
      <c r="K58">
        <v>2024</v>
      </c>
      <c r="L58">
        <v>547</v>
      </c>
      <c r="M58">
        <v>18</v>
      </c>
      <c r="N58">
        <v>12</v>
      </c>
      <c r="O58">
        <v>4420</v>
      </c>
      <c r="P58" t="s">
        <v>129</v>
      </c>
      <c r="Q58">
        <v>4.82</v>
      </c>
      <c r="R58" t="s">
        <v>128</v>
      </c>
      <c r="S58">
        <v>5</v>
      </c>
      <c r="T58">
        <v>4</v>
      </c>
      <c r="U58">
        <v>60</v>
      </c>
      <c r="V58">
        <v>12</v>
      </c>
      <c r="W58">
        <v>255</v>
      </c>
      <c r="X58">
        <v>21</v>
      </c>
    </row>
    <row r="59" spans="1:24" x14ac:dyDescent="0.3">
      <c r="A59">
        <v>44</v>
      </c>
      <c r="B59" t="s">
        <v>63</v>
      </c>
      <c r="C59" t="s">
        <v>20</v>
      </c>
      <c r="D59" t="s">
        <v>21</v>
      </c>
      <c r="E59" t="s">
        <v>202</v>
      </c>
      <c r="F59">
        <v>39</v>
      </c>
      <c r="G59" t="s">
        <v>130</v>
      </c>
      <c r="H59" s="1">
        <v>44095</v>
      </c>
      <c r="I59" s="1">
        <v>44742</v>
      </c>
      <c r="J59" t="s">
        <v>127</v>
      </c>
      <c r="K59">
        <v>2020</v>
      </c>
      <c r="L59">
        <v>627</v>
      </c>
      <c r="M59">
        <v>21</v>
      </c>
      <c r="N59">
        <v>20</v>
      </c>
      <c r="O59">
        <v>11018</v>
      </c>
      <c r="P59" t="s">
        <v>128</v>
      </c>
      <c r="Q59">
        <v>4.1500000000000004</v>
      </c>
      <c r="R59" t="s">
        <v>133</v>
      </c>
      <c r="S59">
        <v>1</v>
      </c>
      <c r="T59">
        <v>5</v>
      </c>
      <c r="U59">
        <v>21</v>
      </c>
      <c r="V59">
        <v>0</v>
      </c>
      <c r="W59">
        <v>1839</v>
      </c>
    </row>
    <row r="60" spans="1:24" x14ac:dyDescent="0.3">
      <c r="A60">
        <v>46</v>
      </c>
      <c r="B60" t="s">
        <v>64</v>
      </c>
      <c r="C60" t="s">
        <v>32</v>
      </c>
      <c r="D60" t="s">
        <v>42</v>
      </c>
      <c r="E60" t="s">
        <v>201</v>
      </c>
      <c r="F60">
        <v>29</v>
      </c>
      <c r="G60" t="s">
        <v>134</v>
      </c>
      <c r="H60" s="1">
        <v>45527</v>
      </c>
      <c r="I60" s="1"/>
      <c r="J60" t="s">
        <v>131</v>
      </c>
      <c r="K60">
        <v>2024</v>
      </c>
      <c r="L60">
        <v>620</v>
      </c>
      <c r="M60">
        <v>21</v>
      </c>
      <c r="N60">
        <v>0</v>
      </c>
      <c r="O60">
        <v>11613</v>
      </c>
      <c r="P60" t="s">
        <v>128</v>
      </c>
      <c r="Q60">
        <v>3.92</v>
      </c>
      <c r="R60" t="s">
        <v>133</v>
      </c>
      <c r="S60">
        <v>4</v>
      </c>
      <c r="T60">
        <v>3</v>
      </c>
      <c r="U60">
        <v>31</v>
      </c>
      <c r="V60">
        <v>20</v>
      </c>
      <c r="W60">
        <v>472</v>
      </c>
      <c r="X60">
        <v>24</v>
      </c>
    </row>
    <row r="61" spans="1:24" x14ac:dyDescent="0.3">
      <c r="A61">
        <v>47</v>
      </c>
      <c r="B61" t="s">
        <v>65</v>
      </c>
      <c r="C61" t="s">
        <v>32</v>
      </c>
      <c r="D61" t="s">
        <v>42</v>
      </c>
      <c r="E61" t="s">
        <v>201</v>
      </c>
      <c r="F61">
        <v>39</v>
      </c>
      <c r="G61" t="s">
        <v>130</v>
      </c>
      <c r="H61" s="1">
        <v>43969</v>
      </c>
      <c r="I61" s="1"/>
      <c r="J61" t="s">
        <v>131</v>
      </c>
      <c r="K61">
        <v>2020</v>
      </c>
      <c r="L61">
        <v>2171</v>
      </c>
      <c r="M61">
        <v>72</v>
      </c>
      <c r="N61">
        <v>7</v>
      </c>
      <c r="O61">
        <v>4166</v>
      </c>
      <c r="P61" t="s">
        <v>129</v>
      </c>
      <c r="Q61">
        <v>3.79</v>
      </c>
      <c r="R61" t="s">
        <v>133</v>
      </c>
      <c r="S61">
        <v>2</v>
      </c>
      <c r="T61">
        <v>1</v>
      </c>
      <c r="U61">
        <v>46</v>
      </c>
      <c r="V61">
        <v>26</v>
      </c>
      <c r="W61">
        <v>1100</v>
      </c>
      <c r="X61">
        <v>42</v>
      </c>
    </row>
    <row r="62" spans="1:24" x14ac:dyDescent="0.3">
      <c r="A62">
        <v>48</v>
      </c>
      <c r="B62" t="s">
        <v>170</v>
      </c>
      <c r="C62" t="s">
        <v>20</v>
      </c>
      <c r="D62" t="s">
        <v>21</v>
      </c>
      <c r="E62" t="s">
        <v>202</v>
      </c>
      <c r="F62">
        <v>31</v>
      </c>
      <c r="G62" t="s">
        <v>130</v>
      </c>
      <c r="H62" s="1">
        <v>44085</v>
      </c>
      <c r="I62" s="1"/>
      <c r="J62" t="s">
        <v>131</v>
      </c>
      <c r="K62">
        <v>2020</v>
      </c>
      <c r="L62">
        <v>2044</v>
      </c>
      <c r="M62">
        <v>68</v>
      </c>
      <c r="N62">
        <v>18</v>
      </c>
      <c r="O62">
        <v>7630</v>
      </c>
      <c r="P62" t="s">
        <v>132</v>
      </c>
      <c r="Q62">
        <v>3.51</v>
      </c>
      <c r="R62" t="s">
        <v>133</v>
      </c>
      <c r="S62">
        <v>2</v>
      </c>
      <c r="T62">
        <v>3</v>
      </c>
      <c r="U62">
        <v>23</v>
      </c>
      <c r="V62">
        <v>30</v>
      </c>
      <c r="W62">
        <v>1233</v>
      </c>
      <c r="X62">
        <v>41</v>
      </c>
    </row>
    <row r="63" spans="1:24" x14ac:dyDescent="0.3">
      <c r="A63">
        <v>82</v>
      </c>
      <c r="B63" t="s">
        <v>170</v>
      </c>
      <c r="C63" t="s">
        <v>32</v>
      </c>
      <c r="D63" t="s">
        <v>42</v>
      </c>
      <c r="E63" t="s">
        <v>202</v>
      </c>
      <c r="F63">
        <v>36</v>
      </c>
      <c r="G63" t="s">
        <v>130</v>
      </c>
      <c r="H63" s="1">
        <v>45255</v>
      </c>
      <c r="I63" s="1">
        <v>45415</v>
      </c>
      <c r="J63" t="s">
        <v>127</v>
      </c>
      <c r="K63">
        <v>2023</v>
      </c>
      <c r="L63">
        <v>144</v>
      </c>
      <c r="M63">
        <v>5</v>
      </c>
      <c r="N63">
        <v>16</v>
      </c>
      <c r="O63">
        <v>12254</v>
      </c>
      <c r="P63" t="s">
        <v>128</v>
      </c>
      <c r="Q63">
        <v>3.05</v>
      </c>
      <c r="R63" t="s">
        <v>129</v>
      </c>
      <c r="S63">
        <v>5</v>
      </c>
      <c r="T63">
        <v>1</v>
      </c>
      <c r="U63">
        <v>19</v>
      </c>
      <c r="V63">
        <v>29</v>
      </c>
      <c r="W63">
        <v>1417</v>
      </c>
      <c r="X63">
        <v>49</v>
      </c>
    </row>
    <row r="64" spans="1:24" x14ac:dyDescent="0.3">
      <c r="A64">
        <v>49</v>
      </c>
      <c r="B64" t="s">
        <v>66</v>
      </c>
      <c r="C64" t="s">
        <v>20</v>
      </c>
      <c r="D64" t="s">
        <v>46</v>
      </c>
      <c r="E64" t="s">
        <v>202</v>
      </c>
      <c r="F64">
        <v>30</v>
      </c>
      <c r="G64" t="s">
        <v>130</v>
      </c>
      <c r="H64" s="1">
        <v>44509</v>
      </c>
      <c r="I64" s="1"/>
      <c r="J64" t="s">
        <v>131</v>
      </c>
      <c r="K64">
        <v>2021</v>
      </c>
      <c r="L64">
        <v>1628</v>
      </c>
      <c r="M64">
        <v>54</v>
      </c>
      <c r="N64">
        <v>10</v>
      </c>
      <c r="O64">
        <v>9023</v>
      </c>
      <c r="P64" t="s">
        <v>132</v>
      </c>
      <c r="Q64">
        <v>3.13</v>
      </c>
      <c r="R64" t="s">
        <v>129</v>
      </c>
      <c r="S64">
        <v>1</v>
      </c>
      <c r="T64">
        <v>2</v>
      </c>
      <c r="U64">
        <v>7</v>
      </c>
      <c r="V64">
        <v>34</v>
      </c>
      <c r="W64">
        <v>1660</v>
      </c>
      <c r="X64">
        <v>49</v>
      </c>
    </row>
    <row r="65" spans="1:24" x14ac:dyDescent="0.3">
      <c r="A65">
        <v>74</v>
      </c>
      <c r="B65" t="s">
        <v>66</v>
      </c>
      <c r="C65" t="s">
        <v>17</v>
      </c>
      <c r="D65" t="s">
        <v>53</v>
      </c>
      <c r="E65" t="s">
        <v>202</v>
      </c>
      <c r="F65">
        <v>30</v>
      </c>
      <c r="G65" t="s">
        <v>130</v>
      </c>
      <c r="H65" s="1">
        <v>44802</v>
      </c>
      <c r="I65" s="1">
        <v>45102</v>
      </c>
      <c r="J65" t="s">
        <v>127</v>
      </c>
      <c r="K65">
        <v>2022</v>
      </c>
      <c r="L65">
        <v>297</v>
      </c>
      <c r="M65">
        <v>10</v>
      </c>
      <c r="N65">
        <v>3</v>
      </c>
      <c r="O65">
        <v>11894</v>
      </c>
      <c r="P65" t="s">
        <v>128</v>
      </c>
      <c r="Q65">
        <v>4.92</v>
      </c>
      <c r="R65" t="s">
        <v>128</v>
      </c>
      <c r="S65">
        <v>3</v>
      </c>
      <c r="T65">
        <v>3</v>
      </c>
      <c r="U65">
        <v>29</v>
      </c>
      <c r="V65">
        <v>4</v>
      </c>
      <c r="W65">
        <v>388</v>
      </c>
      <c r="X65">
        <v>97</v>
      </c>
    </row>
    <row r="66" spans="1:24" x14ac:dyDescent="0.3">
      <c r="A66">
        <v>75</v>
      </c>
      <c r="B66" t="s">
        <v>66</v>
      </c>
      <c r="C66" t="s">
        <v>23</v>
      </c>
      <c r="D66" t="s">
        <v>30</v>
      </c>
      <c r="E66" t="s">
        <v>202</v>
      </c>
      <c r="F66">
        <v>22</v>
      </c>
      <c r="G66" t="s">
        <v>134</v>
      </c>
      <c r="H66" s="1">
        <v>44728</v>
      </c>
      <c r="I66" s="1"/>
      <c r="J66" t="s">
        <v>131</v>
      </c>
      <c r="K66">
        <v>2022</v>
      </c>
      <c r="L66">
        <v>1411</v>
      </c>
      <c r="M66">
        <v>47</v>
      </c>
      <c r="N66">
        <v>8</v>
      </c>
      <c r="O66">
        <v>8332</v>
      </c>
      <c r="P66" t="s">
        <v>132</v>
      </c>
      <c r="Q66">
        <v>3.84</v>
      </c>
      <c r="R66" t="s">
        <v>133</v>
      </c>
      <c r="S66">
        <v>4</v>
      </c>
      <c r="T66">
        <v>3</v>
      </c>
      <c r="U66">
        <v>37</v>
      </c>
      <c r="V66">
        <v>24</v>
      </c>
      <c r="W66">
        <v>1784</v>
      </c>
      <c r="X66">
        <v>74</v>
      </c>
    </row>
    <row r="67" spans="1:24" x14ac:dyDescent="0.3">
      <c r="A67">
        <v>84</v>
      </c>
      <c r="B67" t="s">
        <v>66</v>
      </c>
      <c r="C67" t="s">
        <v>27</v>
      </c>
      <c r="D67" t="s">
        <v>28</v>
      </c>
      <c r="E67" t="s">
        <v>202</v>
      </c>
      <c r="F67">
        <v>36</v>
      </c>
      <c r="G67" t="s">
        <v>130</v>
      </c>
      <c r="H67" s="1">
        <v>45658</v>
      </c>
      <c r="I67" s="1"/>
      <c r="J67" t="s">
        <v>131</v>
      </c>
      <c r="K67">
        <v>2025</v>
      </c>
      <c r="L67">
        <v>469</v>
      </c>
      <c r="M67">
        <v>16</v>
      </c>
      <c r="N67">
        <v>20</v>
      </c>
      <c r="O67">
        <v>12282</v>
      </c>
      <c r="P67" t="s">
        <v>128</v>
      </c>
      <c r="Q67">
        <v>4.01</v>
      </c>
      <c r="R67" t="s">
        <v>133</v>
      </c>
      <c r="S67">
        <v>1</v>
      </c>
      <c r="T67">
        <v>1</v>
      </c>
      <c r="U67">
        <v>41</v>
      </c>
      <c r="V67">
        <v>35</v>
      </c>
      <c r="W67">
        <v>1576</v>
      </c>
      <c r="X67">
        <v>45</v>
      </c>
    </row>
    <row r="68" spans="1:24" x14ac:dyDescent="0.3">
      <c r="A68">
        <v>50</v>
      </c>
      <c r="B68" t="s">
        <v>171</v>
      </c>
      <c r="C68" t="s">
        <v>17</v>
      </c>
      <c r="D68" t="s">
        <v>53</v>
      </c>
      <c r="E68" t="s">
        <v>201</v>
      </c>
      <c r="F68">
        <v>48</v>
      </c>
      <c r="G68" t="s">
        <v>126</v>
      </c>
      <c r="H68" s="1">
        <v>43859</v>
      </c>
      <c r="I68" s="1">
        <v>44880</v>
      </c>
      <c r="J68" t="s">
        <v>127</v>
      </c>
      <c r="K68">
        <v>2020</v>
      </c>
      <c r="L68">
        <v>1012</v>
      </c>
      <c r="M68">
        <v>34</v>
      </c>
      <c r="N68">
        <v>9</v>
      </c>
      <c r="O68">
        <v>7180</v>
      </c>
      <c r="P68" t="s">
        <v>132</v>
      </c>
      <c r="Q68">
        <v>3.24</v>
      </c>
      <c r="R68" t="s">
        <v>129</v>
      </c>
      <c r="S68">
        <v>3</v>
      </c>
      <c r="T68">
        <v>2</v>
      </c>
      <c r="U68">
        <v>0</v>
      </c>
      <c r="V68">
        <v>34</v>
      </c>
      <c r="W68">
        <v>359</v>
      </c>
      <c r="X68">
        <v>11</v>
      </c>
    </row>
    <row r="69" spans="1:24" x14ac:dyDescent="0.3">
      <c r="A69">
        <v>51</v>
      </c>
      <c r="B69" t="s">
        <v>67</v>
      </c>
      <c r="C69" t="s">
        <v>27</v>
      </c>
      <c r="D69" t="s">
        <v>49</v>
      </c>
      <c r="E69" t="s">
        <v>202</v>
      </c>
      <c r="F69">
        <v>25</v>
      </c>
      <c r="G69" t="s">
        <v>134</v>
      </c>
      <c r="H69" s="1">
        <v>43287</v>
      </c>
      <c r="I69" s="1"/>
      <c r="J69" t="s">
        <v>131</v>
      </c>
      <c r="K69">
        <v>2018</v>
      </c>
      <c r="L69">
        <v>2846</v>
      </c>
      <c r="M69">
        <v>95</v>
      </c>
      <c r="N69">
        <v>14</v>
      </c>
      <c r="O69">
        <v>4200</v>
      </c>
      <c r="P69" t="s">
        <v>129</v>
      </c>
      <c r="Q69">
        <v>3.94</v>
      </c>
      <c r="R69" t="s">
        <v>133</v>
      </c>
      <c r="S69">
        <v>4</v>
      </c>
      <c r="T69">
        <v>4</v>
      </c>
      <c r="U69">
        <v>21</v>
      </c>
      <c r="V69">
        <v>11</v>
      </c>
      <c r="W69">
        <v>205</v>
      </c>
      <c r="X69">
        <v>19</v>
      </c>
    </row>
    <row r="70" spans="1:24" x14ac:dyDescent="0.3">
      <c r="A70">
        <v>54</v>
      </c>
      <c r="B70" t="s">
        <v>172</v>
      </c>
      <c r="C70" t="s">
        <v>17</v>
      </c>
      <c r="D70" t="s">
        <v>53</v>
      </c>
      <c r="E70" t="s">
        <v>201</v>
      </c>
      <c r="F70">
        <v>27</v>
      </c>
      <c r="G70" t="s">
        <v>134</v>
      </c>
      <c r="H70" s="1">
        <v>43507</v>
      </c>
      <c r="I70" s="1"/>
      <c r="J70" t="s">
        <v>131</v>
      </c>
      <c r="K70">
        <v>2019</v>
      </c>
      <c r="L70">
        <v>2640</v>
      </c>
      <c r="M70">
        <v>88</v>
      </c>
      <c r="N70">
        <v>0</v>
      </c>
      <c r="O70">
        <v>7929</v>
      </c>
      <c r="P70" t="s">
        <v>132</v>
      </c>
      <c r="Q70">
        <v>2.93</v>
      </c>
      <c r="R70" t="s">
        <v>129</v>
      </c>
      <c r="S70">
        <v>1</v>
      </c>
      <c r="T70">
        <v>2</v>
      </c>
      <c r="U70">
        <v>26</v>
      </c>
      <c r="V70">
        <v>28</v>
      </c>
      <c r="W70">
        <v>1511</v>
      </c>
      <c r="X70">
        <v>54</v>
      </c>
    </row>
    <row r="71" spans="1:24" x14ac:dyDescent="0.3">
      <c r="A71">
        <v>56</v>
      </c>
      <c r="B71" t="s">
        <v>68</v>
      </c>
      <c r="C71" t="s">
        <v>17</v>
      </c>
      <c r="D71" t="s">
        <v>18</v>
      </c>
      <c r="E71" t="s">
        <v>201</v>
      </c>
      <c r="F71">
        <v>47</v>
      </c>
      <c r="G71" t="s">
        <v>126</v>
      </c>
      <c r="H71" s="1">
        <v>43711</v>
      </c>
      <c r="I71" s="1"/>
      <c r="J71" t="s">
        <v>131</v>
      </c>
      <c r="K71">
        <v>2019</v>
      </c>
      <c r="L71">
        <v>2422</v>
      </c>
      <c r="M71">
        <v>81</v>
      </c>
      <c r="N71">
        <v>14</v>
      </c>
      <c r="O71">
        <v>9039</v>
      </c>
      <c r="P71" t="s">
        <v>132</v>
      </c>
      <c r="Q71">
        <v>3.99</v>
      </c>
      <c r="R71" t="s">
        <v>133</v>
      </c>
      <c r="S71">
        <v>5</v>
      </c>
      <c r="T71">
        <v>3</v>
      </c>
      <c r="U71">
        <v>7</v>
      </c>
      <c r="V71">
        <v>29</v>
      </c>
      <c r="W71">
        <v>1510</v>
      </c>
      <c r="X71">
        <v>52</v>
      </c>
    </row>
    <row r="72" spans="1:24" x14ac:dyDescent="0.3">
      <c r="A72">
        <v>73</v>
      </c>
      <c r="B72" t="s">
        <v>68</v>
      </c>
      <c r="C72" t="s">
        <v>17</v>
      </c>
      <c r="D72" t="s">
        <v>18</v>
      </c>
      <c r="E72" t="s">
        <v>201</v>
      </c>
      <c r="F72">
        <v>47</v>
      </c>
      <c r="G72" t="s">
        <v>126</v>
      </c>
      <c r="H72" s="1">
        <v>43879</v>
      </c>
      <c r="I72" s="1"/>
      <c r="J72" t="s">
        <v>131</v>
      </c>
      <c r="K72">
        <v>2020</v>
      </c>
      <c r="L72">
        <v>2266</v>
      </c>
      <c r="M72">
        <v>76</v>
      </c>
      <c r="N72">
        <v>2</v>
      </c>
      <c r="O72">
        <v>11222</v>
      </c>
      <c r="P72" t="s">
        <v>128</v>
      </c>
      <c r="Q72">
        <v>2.58</v>
      </c>
      <c r="R72" t="s">
        <v>129</v>
      </c>
      <c r="S72">
        <v>3</v>
      </c>
      <c r="T72">
        <v>2</v>
      </c>
      <c r="U72">
        <v>58</v>
      </c>
      <c r="V72">
        <v>18</v>
      </c>
      <c r="W72">
        <v>769</v>
      </c>
      <c r="X72">
        <v>43</v>
      </c>
    </row>
    <row r="73" spans="1:24" x14ac:dyDescent="0.3">
      <c r="A73">
        <v>57</v>
      </c>
      <c r="B73" t="s">
        <v>69</v>
      </c>
      <c r="C73" t="s">
        <v>27</v>
      </c>
      <c r="D73" t="s">
        <v>28</v>
      </c>
      <c r="E73" t="s">
        <v>202</v>
      </c>
      <c r="F73">
        <v>24</v>
      </c>
      <c r="G73" t="s">
        <v>134</v>
      </c>
      <c r="H73" s="1">
        <v>44749</v>
      </c>
      <c r="I73" s="1"/>
      <c r="J73" t="s">
        <v>131</v>
      </c>
      <c r="K73">
        <v>2022</v>
      </c>
      <c r="L73">
        <v>1379</v>
      </c>
      <c r="M73">
        <v>46</v>
      </c>
      <c r="N73">
        <v>19</v>
      </c>
      <c r="O73">
        <v>13798</v>
      </c>
      <c r="P73" t="s">
        <v>128</v>
      </c>
      <c r="Q73">
        <v>2.6</v>
      </c>
      <c r="R73" t="s">
        <v>129</v>
      </c>
      <c r="S73">
        <v>4</v>
      </c>
      <c r="T73">
        <v>3</v>
      </c>
      <c r="U73">
        <v>16</v>
      </c>
      <c r="V73">
        <v>1</v>
      </c>
      <c r="W73">
        <v>287</v>
      </c>
      <c r="X73">
        <v>287</v>
      </c>
    </row>
    <row r="74" spans="1:24" x14ac:dyDescent="0.3">
      <c r="A74">
        <v>106</v>
      </c>
      <c r="B74" t="s">
        <v>69</v>
      </c>
      <c r="C74" t="s">
        <v>32</v>
      </c>
      <c r="D74" t="s">
        <v>42</v>
      </c>
      <c r="E74" t="s">
        <v>202</v>
      </c>
      <c r="F74">
        <v>48</v>
      </c>
      <c r="G74" t="s">
        <v>126</v>
      </c>
      <c r="H74" s="1">
        <v>44255</v>
      </c>
      <c r="I74" s="1"/>
      <c r="J74" t="s">
        <v>131</v>
      </c>
      <c r="K74">
        <v>2021</v>
      </c>
      <c r="L74">
        <v>1891</v>
      </c>
      <c r="M74">
        <v>63</v>
      </c>
      <c r="N74">
        <v>1</v>
      </c>
      <c r="O74">
        <v>7271</v>
      </c>
      <c r="P74" t="s">
        <v>132</v>
      </c>
      <c r="Q74">
        <v>4.5</v>
      </c>
      <c r="R74" t="s">
        <v>128</v>
      </c>
      <c r="S74">
        <v>2</v>
      </c>
      <c r="T74">
        <v>3</v>
      </c>
      <c r="U74">
        <v>41</v>
      </c>
      <c r="V74">
        <v>30</v>
      </c>
      <c r="W74">
        <v>1890</v>
      </c>
      <c r="X74">
        <v>63</v>
      </c>
    </row>
    <row r="75" spans="1:24" x14ac:dyDescent="0.3">
      <c r="A75">
        <v>58</v>
      </c>
      <c r="B75" t="s">
        <v>70</v>
      </c>
      <c r="C75" t="s">
        <v>23</v>
      </c>
      <c r="D75" t="s">
        <v>71</v>
      </c>
      <c r="E75" t="s">
        <v>201</v>
      </c>
      <c r="F75">
        <v>46</v>
      </c>
      <c r="G75" t="s">
        <v>126</v>
      </c>
      <c r="H75" s="1">
        <v>45457</v>
      </c>
      <c r="I75" s="1"/>
      <c r="J75" t="s">
        <v>131</v>
      </c>
      <c r="K75">
        <v>2024</v>
      </c>
      <c r="L75">
        <v>685</v>
      </c>
      <c r="M75">
        <v>23</v>
      </c>
      <c r="N75">
        <v>5</v>
      </c>
      <c r="O75">
        <v>6870</v>
      </c>
      <c r="P75" t="s">
        <v>132</v>
      </c>
      <c r="Q75">
        <v>3.68</v>
      </c>
      <c r="R75" t="s">
        <v>133</v>
      </c>
      <c r="S75">
        <v>4</v>
      </c>
      <c r="T75">
        <v>3</v>
      </c>
      <c r="U75">
        <v>37</v>
      </c>
      <c r="V75">
        <v>27</v>
      </c>
      <c r="W75">
        <v>1400</v>
      </c>
      <c r="X75">
        <v>52</v>
      </c>
    </row>
    <row r="76" spans="1:24" x14ac:dyDescent="0.3">
      <c r="A76">
        <v>61</v>
      </c>
      <c r="B76" t="s">
        <v>72</v>
      </c>
      <c r="C76" t="s">
        <v>32</v>
      </c>
      <c r="D76" t="s">
        <v>33</v>
      </c>
      <c r="E76" t="s">
        <v>201</v>
      </c>
      <c r="F76">
        <v>36</v>
      </c>
      <c r="G76" t="s">
        <v>130</v>
      </c>
      <c r="H76" s="1">
        <v>44911</v>
      </c>
      <c r="I76" s="1"/>
      <c r="J76" t="s">
        <v>131</v>
      </c>
      <c r="K76">
        <v>2022</v>
      </c>
      <c r="L76">
        <v>1231</v>
      </c>
      <c r="M76">
        <v>41</v>
      </c>
      <c r="N76">
        <v>5</v>
      </c>
      <c r="O76">
        <v>11941</v>
      </c>
      <c r="P76" t="s">
        <v>128</v>
      </c>
      <c r="Q76">
        <v>2.8</v>
      </c>
      <c r="R76" t="s">
        <v>129</v>
      </c>
      <c r="S76">
        <v>5</v>
      </c>
      <c r="T76">
        <v>2</v>
      </c>
      <c r="U76">
        <v>19</v>
      </c>
      <c r="V76">
        <v>35</v>
      </c>
      <c r="W76">
        <v>128</v>
      </c>
      <c r="X76">
        <v>4</v>
      </c>
    </row>
    <row r="77" spans="1:24" x14ac:dyDescent="0.3">
      <c r="A77">
        <v>62</v>
      </c>
      <c r="B77" t="s">
        <v>73</v>
      </c>
      <c r="C77" t="s">
        <v>20</v>
      </c>
      <c r="D77" t="s">
        <v>21</v>
      </c>
      <c r="E77" t="s">
        <v>202</v>
      </c>
      <c r="F77">
        <v>44</v>
      </c>
      <c r="G77" t="s">
        <v>126</v>
      </c>
      <c r="H77" s="1">
        <v>44772</v>
      </c>
      <c r="I77" s="1">
        <v>45034</v>
      </c>
      <c r="J77" t="s">
        <v>127</v>
      </c>
      <c r="K77">
        <v>2022</v>
      </c>
      <c r="L77">
        <v>247</v>
      </c>
      <c r="M77">
        <v>8</v>
      </c>
      <c r="N77">
        <v>15</v>
      </c>
      <c r="O77">
        <v>8781</v>
      </c>
      <c r="P77" t="s">
        <v>132</v>
      </c>
      <c r="Q77">
        <v>3.77</v>
      </c>
      <c r="R77" t="s">
        <v>133</v>
      </c>
      <c r="S77">
        <v>3</v>
      </c>
      <c r="T77">
        <v>4</v>
      </c>
      <c r="U77">
        <v>30</v>
      </c>
      <c r="V77">
        <v>15</v>
      </c>
      <c r="W77">
        <v>1035</v>
      </c>
      <c r="X77">
        <v>69</v>
      </c>
    </row>
    <row r="78" spans="1:24" x14ac:dyDescent="0.3">
      <c r="A78">
        <v>64</v>
      </c>
      <c r="B78" t="s">
        <v>74</v>
      </c>
      <c r="C78" t="s">
        <v>20</v>
      </c>
      <c r="D78" t="s">
        <v>46</v>
      </c>
      <c r="E78" t="s">
        <v>202</v>
      </c>
      <c r="F78">
        <v>33</v>
      </c>
      <c r="G78" t="s">
        <v>130</v>
      </c>
      <c r="H78" s="1">
        <v>45476</v>
      </c>
      <c r="I78" s="1"/>
      <c r="J78" t="s">
        <v>131</v>
      </c>
      <c r="K78">
        <v>2024</v>
      </c>
      <c r="L78">
        <v>657</v>
      </c>
      <c r="M78">
        <v>22</v>
      </c>
      <c r="N78">
        <v>14</v>
      </c>
      <c r="O78">
        <v>9446</v>
      </c>
      <c r="P78" t="s">
        <v>132</v>
      </c>
      <c r="Q78">
        <v>3.88</v>
      </c>
      <c r="R78" t="s">
        <v>133</v>
      </c>
      <c r="S78">
        <v>5</v>
      </c>
      <c r="T78">
        <v>4</v>
      </c>
      <c r="U78">
        <v>59</v>
      </c>
      <c r="V78">
        <v>20</v>
      </c>
      <c r="W78">
        <v>1880</v>
      </c>
      <c r="X78">
        <v>94</v>
      </c>
    </row>
    <row r="79" spans="1:24" x14ac:dyDescent="0.3">
      <c r="A79">
        <v>65</v>
      </c>
      <c r="B79" t="s">
        <v>75</v>
      </c>
      <c r="C79" t="s">
        <v>23</v>
      </c>
      <c r="D79" t="s">
        <v>30</v>
      </c>
      <c r="E79" t="s">
        <v>201</v>
      </c>
      <c r="F79">
        <v>45</v>
      </c>
      <c r="G79" t="s">
        <v>126</v>
      </c>
      <c r="H79" s="1">
        <v>44079</v>
      </c>
      <c r="I79" s="1"/>
      <c r="J79" t="s">
        <v>131</v>
      </c>
      <c r="K79">
        <v>2020</v>
      </c>
      <c r="L79">
        <v>2048</v>
      </c>
      <c r="M79">
        <v>68</v>
      </c>
      <c r="N79">
        <v>20</v>
      </c>
      <c r="O79">
        <v>11749</v>
      </c>
      <c r="P79" t="s">
        <v>128</v>
      </c>
      <c r="Q79">
        <v>4.26</v>
      </c>
      <c r="R79" t="s">
        <v>133</v>
      </c>
      <c r="S79">
        <v>4</v>
      </c>
      <c r="T79">
        <v>4</v>
      </c>
      <c r="U79">
        <v>9</v>
      </c>
      <c r="V79">
        <v>31</v>
      </c>
      <c r="W79">
        <v>175</v>
      </c>
      <c r="X79">
        <v>6</v>
      </c>
    </row>
    <row r="80" spans="1:24" x14ac:dyDescent="0.3">
      <c r="A80">
        <v>85</v>
      </c>
      <c r="B80" t="s">
        <v>75</v>
      </c>
      <c r="C80" t="s">
        <v>23</v>
      </c>
      <c r="D80" t="s">
        <v>24</v>
      </c>
      <c r="E80" t="s">
        <v>201</v>
      </c>
      <c r="F80">
        <v>34</v>
      </c>
      <c r="G80" t="s">
        <v>130</v>
      </c>
      <c r="H80" s="1">
        <v>44862</v>
      </c>
      <c r="I80" s="1"/>
      <c r="J80" t="s">
        <v>131</v>
      </c>
      <c r="K80">
        <v>2022</v>
      </c>
      <c r="L80">
        <v>1275</v>
      </c>
      <c r="M80">
        <v>42</v>
      </c>
      <c r="N80">
        <v>10</v>
      </c>
      <c r="O80">
        <v>10815</v>
      </c>
      <c r="P80" t="s">
        <v>128</v>
      </c>
      <c r="Q80">
        <v>4.32</v>
      </c>
      <c r="R80" t="s">
        <v>133</v>
      </c>
      <c r="S80">
        <v>3</v>
      </c>
      <c r="T80">
        <v>4</v>
      </c>
      <c r="U80">
        <v>42</v>
      </c>
      <c r="V80">
        <v>16</v>
      </c>
      <c r="W80">
        <v>866</v>
      </c>
      <c r="X80">
        <v>54</v>
      </c>
    </row>
    <row r="81" spans="1:24" x14ac:dyDescent="0.3">
      <c r="A81">
        <v>67</v>
      </c>
      <c r="B81" t="s">
        <v>76</v>
      </c>
      <c r="C81" t="s">
        <v>27</v>
      </c>
      <c r="D81" t="s">
        <v>28</v>
      </c>
      <c r="E81" t="s">
        <v>201</v>
      </c>
      <c r="F81">
        <v>32</v>
      </c>
      <c r="G81" t="s">
        <v>130</v>
      </c>
      <c r="H81" s="1">
        <v>44487</v>
      </c>
      <c r="I81" s="1"/>
      <c r="J81" t="s">
        <v>131</v>
      </c>
      <c r="K81">
        <v>2021</v>
      </c>
      <c r="L81">
        <v>1659</v>
      </c>
      <c r="M81">
        <v>55</v>
      </c>
      <c r="N81">
        <v>1</v>
      </c>
      <c r="O81">
        <v>14269</v>
      </c>
      <c r="P81" t="s">
        <v>128</v>
      </c>
      <c r="Q81">
        <v>4.3</v>
      </c>
      <c r="R81" t="s">
        <v>133</v>
      </c>
      <c r="S81">
        <v>4</v>
      </c>
      <c r="T81">
        <v>5</v>
      </c>
      <c r="U81">
        <v>39</v>
      </c>
      <c r="V81">
        <v>4</v>
      </c>
      <c r="W81">
        <v>580</v>
      </c>
      <c r="X81">
        <v>145</v>
      </c>
    </row>
    <row r="82" spans="1:24" x14ac:dyDescent="0.3">
      <c r="A82">
        <v>68</v>
      </c>
      <c r="B82" t="s">
        <v>77</v>
      </c>
      <c r="C82" t="s">
        <v>17</v>
      </c>
      <c r="D82" t="s">
        <v>18</v>
      </c>
      <c r="E82" t="s">
        <v>201</v>
      </c>
      <c r="F82">
        <v>36</v>
      </c>
      <c r="G82" t="s">
        <v>130</v>
      </c>
      <c r="H82" s="1">
        <v>44278</v>
      </c>
      <c r="I82" s="1"/>
      <c r="J82" t="s">
        <v>131</v>
      </c>
      <c r="K82">
        <v>2021</v>
      </c>
      <c r="L82">
        <v>1859</v>
      </c>
      <c r="M82">
        <v>62</v>
      </c>
      <c r="N82">
        <v>10</v>
      </c>
      <c r="O82">
        <v>6725</v>
      </c>
      <c r="P82" t="s">
        <v>132</v>
      </c>
      <c r="Q82">
        <v>4.24</v>
      </c>
      <c r="R82" t="s">
        <v>133</v>
      </c>
      <c r="S82">
        <v>1</v>
      </c>
      <c r="T82">
        <v>1</v>
      </c>
      <c r="U82">
        <v>50</v>
      </c>
      <c r="V82">
        <v>3</v>
      </c>
      <c r="W82">
        <v>700</v>
      </c>
      <c r="X82">
        <v>233</v>
      </c>
    </row>
    <row r="83" spans="1:24" x14ac:dyDescent="0.3">
      <c r="A83">
        <v>86</v>
      </c>
      <c r="B83" t="s">
        <v>77</v>
      </c>
      <c r="C83" t="s">
        <v>23</v>
      </c>
      <c r="D83" t="s">
        <v>30</v>
      </c>
      <c r="E83" t="s">
        <v>201</v>
      </c>
      <c r="F83">
        <v>47</v>
      </c>
      <c r="G83" t="s">
        <v>126</v>
      </c>
      <c r="H83" s="1">
        <v>45043</v>
      </c>
      <c r="I83" s="1">
        <v>45247</v>
      </c>
      <c r="J83" t="s">
        <v>127</v>
      </c>
      <c r="K83">
        <v>2023</v>
      </c>
      <c r="L83">
        <v>187</v>
      </c>
      <c r="M83">
        <v>6</v>
      </c>
      <c r="N83">
        <v>17</v>
      </c>
      <c r="O83">
        <v>6131</v>
      </c>
      <c r="P83" t="s">
        <v>132</v>
      </c>
      <c r="Q83">
        <v>3.89</v>
      </c>
      <c r="R83" t="s">
        <v>133</v>
      </c>
      <c r="S83">
        <v>5</v>
      </c>
      <c r="T83">
        <v>5</v>
      </c>
      <c r="U83">
        <v>21</v>
      </c>
      <c r="V83">
        <v>7</v>
      </c>
      <c r="W83">
        <v>941</v>
      </c>
      <c r="X83">
        <v>134</v>
      </c>
    </row>
    <row r="84" spans="1:24" x14ac:dyDescent="0.3">
      <c r="A84">
        <v>95</v>
      </c>
      <c r="B84" t="s">
        <v>77</v>
      </c>
      <c r="C84" t="s">
        <v>32</v>
      </c>
      <c r="D84" t="s">
        <v>42</v>
      </c>
      <c r="E84" t="s">
        <v>201</v>
      </c>
      <c r="F84">
        <v>29</v>
      </c>
      <c r="G84" t="s">
        <v>134</v>
      </c>
      <c r="H84" s="1">
        <v>45513</v>
      </c>
      <c r="I84" s="1"/>
      <c r="J84" t="s">
        <v>131</v>
      </c>
      <c r="K84">
        <v>2024</v>
      </c>
      <c r="L84">
        <v>614</v>
      </c>
      <c r="M84">
        <v>20</v>
      </c>
      <c r="N84">
        <v>20</v>
      </c>
      <c r="O84">
        <v>9456</v>
      </c>
      <c r="P84" t="s">
        <v>132</v>
      </c>
      <c r="Q84">
        <v>4.45</v>
      </c>
      <c r="R84" t="s">
        <v>133</v>
      </c>
      <c r="S84">
        <v>1</v>
      </c>
      <c r="T84">
        <v>5</v>
      </c>
      <c r="U84">
        <v>7</v>
      </c>
      <c r="V84">
        <v>33</v>
      </c>
      <c r="W84">
        <v>1144</v>
      </c>
      <c r="X84">
        <v>35</v>
      </c>
    </row>
    <row r="85" spans="1:24" x14ac:dyDescent="0.3">
      <c r="A85">
        <v>69</v>
      </c>
      <c r="B85" t="s">
        <v>173</v>
      </c>
      <c r="C85" t="s">
        <v>27</v>
      </c>
      <c r="D85" t="s">
        <v>28</v>
      </c>
      <c r="E85" t="s">
        <v>201</v>
      </c>
      <c r="F85">
        <v>27</v>
      </c>
      <c r="G85" t="s">
        <v>134</v>
      </c>
      <c r="H85" s="1">
        <v>44636</v>
      </c>
      <c r="I85" s="1"/>
      <c r="J85" t="s">
        <v>131</v>
      </c>
      <c r="K85">
        <v>2022</v>
      </c>
      <c r="L85">
        <v>1504</v>
      </c>
      <c r="M85">
        <v>50</v>
      </c>
      <c r="N85">
        <v>7</v>
      </c>
      <c r="O85">
        <v>6868</v>
      </c>
      <c r="P85" t="s">
        <v>132</v>
      </c>
      <c r="Q85">
        <v>2.7</v>
      </c>
      <c r="R85" t="s">
        <v>129</v>
      </c>
      <c r="S85">
        <v>4</v>
      </c>
      <c r="T85">
        <v>5</v>
      </c>
      <c r="U85">
        <v>31</v>
      </c>
      <c r="V85">
        <v>37</v>
      </c>
      <c r="W85">
        <v>393</v>
      </c>
      <c r="X85">
        <v>11</v>
      </c>
    </row>
    <row r="86" spans="1:24" x14ac:dyDescent="0.3">
      <c r="A86">
        <v>93</v>
      </c>
      <c r="B86" t="s">
        <v>173</v>
      </c>
      <c r="C86" t="s">
        <v>32</v>
      </c>
      <c r="D86" t="s">
        <v>42</v>
      </c>
      <c r="E86" t="s">
        <v>201</v>
      </c>
      <c r="F86">
        <v>34</v>
      </c>
      <c r="G86" t="s">
        <v>130</v>
      </c>
      <c r="H86" s="1">
        <v>43820</v>
      </c>
      <c r="I86" s="1">
        <v>44940</v>
      </c>
      <c r="J86" t="s">
        <v>127</v>
      </c>
      <c r="K86">
        <v>2019</v>
      </c>
      <c r="L86">
        <v>1110</v>
      </c>
      <c r="M86">
        <v>37</v>
      </c>
      <c r="N86">
        <v>10</v>
      </c>
      <c r="O86">
        <v>4693</v>
      </c>
      <c r="P86" t="s">
        <v>129</v>
      </c>
      <c r="Q86">
        <v>3.59</v>
      </c>
      <c r="R86" t="s">
        <v>133</v>
      </c>
      <c r="S86">
        <v>4</v>
      </c>
      <c r="T86">
        <v>1</v>
      </c>
      <c r="U86">
        <v>36</v>
      </c>
      <c r="V86">
        <v>27</v>
      </c>
      <c r="W86">
        <v>1274</v>
      </c>
      <c r="X86">
        <v>47</v>
      </c>
    </row>
    <row r="87" spans="1:24" x14ac:dyDescent="0.3">
      <c r="A87">
        <v>70</v>
      </c>
      <c r="B87" t="s">
        <v>78</v>
      </c>
      <c r="C87" t="s">
        <v>23</v>
      </c>
      <c r="D87" t="s">
        <v>71</v>
      </c>
      <c r="E87" t="s">
        <v>202</v>
      </c>
      <c r="F87">
        <v>50</v>
      </c>
      <c r="G87" t="s">
        <v>126</v>
      </c>
      <c r="H87" s="1">
        <v>44989</v>
      </c>
      <c r="I87" s="1"/>
      <c r="J87" t="s">
        <v>131</v>
      </c>
      <c r="K87">
        <v>2023</v>
      </c>
      <c r="L87">
        <v>1156</v>
      </c>
      <c r="M87">
        <v>39</v>
      </c>
      <c r="N87">
        <v>2</v>
      </c>
      <c r="O87">
        <v>11622</v>
      </c>
      <c r="P87" t="s">
        <v>128</v>
      </c>
      <c r="Q87">
        <v>4.75</v>
      </c>
      <c r="R87" t="s">
        <v>128</v>
      </c>
      <c r="S87">
        <v>5</v>
      </c>
      <c r="T87">
        <v>2</v>
      </c>
      <c r="U87">
        <v>28</v>
      </c>
      <c r="V87">
        <v>22</v>
      </c>
      <c r="W87">
        <v>1303</v>
      </c>
      <c r="X87">
        <v>59</v>
      </c>
    </row>
    <row r="88" spans="1:24" x14ac:dyDescent="0.3">
      <c r="A88">
        <v>71</v>
      </c>
      <c r="B88" t="s">
        <v>78</v>
      </c>
      <c r="C88" t="s">
        <v>27</v>
      </c>
      <c r="D88" t="s">
        <v>49</v>
      </c>
      <c r="E88" t="s">
        <v>202</v>
      </c>
      <c r="F88">
        <v>49</v>
      </c>
      <c r="G88" t="s">
        <v>126</v>
      </c>
      <c r="H88" s="1">
        <v>44838</v>
      </c>
      <c r="I88" s="1"/>
      <c r="J88" t="s">
        <v>131</v>
      </c>
      <c r="K88">
        <v>2022</v>
      </c>
      <c r="L88">
        <v>1298</v>
      </c>
      <c r="M88">
        <v>43</v>
      </c>
      <c r="N88">
        <v>11</v>
      </c>
      <c r="O88">
        <v>11916</v>
      </c>
      <c r="P88" t="s">
        <v>128</v>
      </c>
      <c r="Q88">
        <v>2.77</v>
      </c>
      <c r="R88" t="s">
        <v>129</v>
      </c>
      <c r="S88">
        <v>4</v>
      </c>
      <c r="T88">
        <v>5</v>
      </c>
      <c r="U88">
        <v>36</v>
      </c>
      <c r="V88">
        <v>18</v>
      </c>
      <c r="W88">
        <v>1532</v>
      </c>
      <c r="X88">
        <v>85</v>
      </c>
    </row>
    <row r="89" spans="1:24" x14ac:dyDescent="0.3">
      <c r="A89">
        <v>72</v>
      </c>
      <c r="B89" t="s">
        <v>174</v>
      </c>
      <c r="C89" t="s">
        <v>27</v>
      </c>
      <c r="D89" t="s">
        <v>49</v>
      </c>
      <c r="E89" t="s">
        <v>202</v>
      </c>
      <c r="F89">
        <v>41</v>
      </c>
      <c r="G89" t="s">
        <v>126</v>
      </c>
      <c r="H89" s="1">
        <v>43190</v>
      </c>
      <c r="I89" s="1"/>
      <c r="J89" t="s">
        <v>131</v>
      </c>
      <c r="K89">
        <v>2018</v>
      </c>
      <c r="L89">
        <v>2938</v>
      </c>
      <c r="M89">
        <v>98</v>
      </c>
      <c r="N89">
        <v>19</v>
      </c>
      <c r="O89">
        <v>12138</v>
      </c>
      <c r="P89" t="s">
        <v>128</v>
      </c>
      <c r="Q89">
        <v>4.58</v>
      </c>
      <c r="R89" t="s">
        <v>128</v>
      </c>
      <c r="S89">
        <v>3</v>
      </c>
      <c r="T89">
        <v>2</v>
      </c>
      <c r="U89">
        <v>51</v>
      </c>
      <c r="V89">
        <v>22</v>
      </c>
      <c r="W89">
        <v>548</v>
      </c>
      <c r="X89">
        <v>25</v>
      </c>
    </row>
    <row r="90" spans="1:24" x14ac:dyDescent="0.3">
      <c r="A90">
        <v>77</v>
      </c>
      <c r="B90" t="s">
        <v>175</v>
      </c>
      <c r="C90" t="s">
        <v>35</v>
      </c>
      <c r="D90" t="s">
        <v>36</v>
      </c>
      <c r="E90" t="s">
        <v>202</v>
      </c>
      <c r="F90">
        <v>50</v>
      </c>
      <c r="G90" t="s">
        <v>126</v>
      </c>
      <c r="H90" s="1">
        <v>43253</v>
      </c>
      <c r="I90" s="1"/>
      <c r="J90" t="s">
        <v>131</v>
      </c>
      <c r="K90">
        <v>2018</v>
      </c>
      <c r="L90">
        <v>2877</v>
      </c>
      <c r="M90">
        <v>96</v>
      </c>
      <c r="N90">
        <v>17</v>
      </c>
      <c r="O90">
        <v>12807</v>
      </c>
      <c r="P90" t="s">
        <v>128</v>
      </c>
      <c r="Q90">
        <v>2.84</v>
      </c>
      <c r="R90" t="s">
        <v>129</v>
      </c>
      <c r="S90">
        <v>4</v>
      </c>
      <c r="T90">
        <v>3</v>
      </c>
      <c r="U90">
        <v>26</v>
      </c>
      <c r="V90">
        <v>37</v>
      </c>
      <c r="W90">
        <v>1620</v>
      </c>
      <c r="X90">
        <v>44</v>
      </c>
    </row>
    <row r="91" spans="1:24" x14ac:dyDescent="0.3">
      <c r="A91">
        <v>78</v>
      </c>
      <c r="B91" t="s">
        <v>79</v>
      </c>
      <c r="C91" t="s">
        <v>17</v>
      </c>
      <c r="D91" t="s">
        <v>53</v>
      </c>
      <c r="E91" t="s">
        <v>201</v>
      </c>
      <c r="F91">
        <v>23</v>
      </c>
      <c r="G91" t="s">
        <v>134</v>
      </c>
      <c r="H91" s="1">
        <v>43733</v>
      </c>
      <c r="I91" s="1"/>
      <c r="J91" t="s">
        <v>131</v>
      </c>
      <c r="K91">
        <v>2019</v>
      </c>
      <c r="L91">
        <v>2403</v>
      </c>
      <c r="M91">
        <v>80</v>
      </c>
      <c r="N91">
        <v>11</v>
      </c>
      <c r="O91">
        <v>10070</v>
      </c>
      <c r="P91" t="s">
        <v>128</v>
      </c>
      <c r="Q91">
        <v>3.04</v>
      </c>
      <c r="R91" t="s">
        <v>129</v>
      </c>
      <c r="S91">
        <v>4</v>
      </c>
      <c r="T91">
        <v>2</v>
      </c>
      <c r="U91">
        <v>6</v>
      </c>
      <c r="V91">
        <v>23</v>
      </c>
      <c r="W91">
        <v>1215</v>
      </c>
      <c r="X91">
        <v>53</v>
      </c>
    </row>
    <row r="92" spans="1:24" x14ac:dyDescent="0.3">
      <c r="A92">
        <v>79</v>
      </c>
      <c r="B92" t="s">
        <v>176</v>
      </c>
      <c r="C92" t="s">
        <v>17</v>
      </c>
      <c r="D92" t="s">
        <v>53</v>
      </c>
      <c r="E92" t="s">
        <v>201</v>
      </c>
      <c r="F92">
        <v>43</v>
      </c>
      <c r="G92" t="s">
        <v>126</v>
      </c>
      <c r="H92" s="1">
        <v>44570</v>
      </c>
      <c r="I92" s="1">
        <v>45165</v>
      </c>
      <c r="J92" t="s">
        <v>127</v>
      </c>
      <c r="K92">
        <v>2022</v>
      </c>
      <c r="L92">
        <v>594</v>
      </c>
      <c r="M92">
        <v>20</v>
      </c>
      <c r="N92">
        <v>1</v>
      </c>
      <c r="O92">
        <v>7475</v>
      </c>
      <c r="P92" t="s">
        <v>132</v>
      </c>
      <c r="Q92">
        <v>4.0999999999999996</v>
      </c>
      <c r="R92" t="s">
        <v>133</v>
      </c>
      <c r="S92">
        <v>5</v>
      </c>
      <c r="T92">
        <v>1</v>
      </c>
      <c r="U92">
        <v>50</v>
      </c>
      <c r="V92">
        <v>21</v>
      </c>
      <c r="W92">
        <v>598</v>
      </c>
      <c r="X92">
        <v>28</v>
      </c>
    </row>
    <row r="93" spans="1:24" x14ac:dyDescent="0.3">
      <c r="A93">
        <v>80</v>
      </c>
      <c r="B93" t="s">
        <v>177</v>
      </c>
      <c r="C93" t="s">
        <v>23</v>
      </c>
      <c r="D93" t="s">
        <v>30</v>
      </c>
      <c r="E93" t="s">
        <v>201</v>
      </c>
      <c r="F93">
        <v>32</v>
      </c>
      <c r="G93" t="s">
        <v>130</v>
      </c>
      <c r="H93" s="1">
        <v>45413</v>
      </c>
      <c r="I93" s="1"/>
      <c r="J93" t="s">
        <v>131</v>
      </c>
      <c r="K93">
        <v>2024</v>
      </c>
      <c r="L93">
        <v>726</v>
      </c>
      <c r="M93">
        <v>24</v>
      </c>
      <c r="N93">
        <v>8</v>
      </c>
      <c r="O93">
        <v>6417</v>
      </c>
      <c r="P93" t="s">
        <v>132</v>
      </c>
      <c r="Q93">
        <v>4.47</v>
      </c>
      <c r="R93" t="s">
        <v>133</v>
      </c>
      <c r="S93">
        <v>5</v>
      </c>
      <c r="T93">
        <v>1</v>
      </c>
      <c r="U93">
        <v>54</v>
      </c>
      <c r="V93">
        <v>9</v>
      </c>
      <c r="W93">
        <v>366</v>
      </c>
      <c r="X93">
        <v>41</v>
      </c>
    </row>
    <row r="94" spans="1:24" x14ac:dyDescent="0.3">
      <c r="A94">
        <v>81</v>
      </c>
      <c r="B94" t="s">
        <v>178</v>
      </c>
      <c r="C94" t="s">
        <v>20</v>
      </c>
      <c r="D94" t="s">
        <v>21</v>
      </c>
      <c r="E94" t="s">
        <v>201</v>
      </c>
      <c r="F94">
        <v>33</v>
      </c>
      <c r="G94" t="s">
        <v>130</v>
      </c>
      <c r="H94" s="1">
        <v>44127</v>
      </c>
      <c r="I94" s="1"/>
      <c r="J94" t="s">
        <v>131</v>
      </c>
      <c r="K94">
        <v>2020</v>
      </c>
      <c r="L94">
        <v>2012</v>
      </c>
      <c r="M94">
        <v>67</v>
      </c>
      <c r="N94">
        <v>8</v>
      </c>
      <c r="O94">
        <v>7898</v>
      </c>
      <c r="P94" t="s">
        <v>132</v>
      </c>
      <c r="Q94">
        <v>3.97</v>
      </c>
      <c r="R94" t="s">
        <v>133</v>
      </c>
      <c r="S94">
        <v>1</v>
      </c>
      <c r="T94">
        <v>2</v>
      </c>
      <c r="U94">
        <v>3</v>
      </c>
      <c r="V94">
        <v>8</v>
      </c>
      <c r="W94">
        <v>1619</v>
      </c>
      <c r="X94">
        <v>202</v>
      </c>
    </row>
    <row r="95" spans="1:24" x14ac:dyDescent="0.3">
      <c r="A95">
        <v>83</v>
      </c>
      <c r="B95" t="s">
        <v>80</v>
      </c>
      <c r="C95" t="s">
        <v>35</v>
      </c>
      <c r="D95" t="s">
        <v>36</v>
      </c>
      <c r="E95" t="s">
        <v>202</v>
      </c>
      <c r="F95">
        <v>44</v>
      </c>
      <c r="G95" t="s">
        <v>126</v>
      </c>
      <c r="H95" s="1">
        <v>43350</v>
      </c>
      <c r="I95" s="1"/>
      <c r="J95" t="s">
        <v>131</v>
      </c>
      <c r="K95">
        <v>2018</v>
      </c>
      <c r="L95">
        <v>2778</v>
      </c>
      <c r="M95">
        <v>93</v>
      </c>
      <c r="N95">
        <v>19</v>
      </c>
      <c r="O95">
        <v>11267</v>
      </c>
      <c r="P95" t="s">
        <v>128</v>
      </c>
      <c r="Q95">
        <v>2.68</v>
      </c>
      <c r="R95" t="s">
        <v>129</v>
      </c>
      <c r="S95">
        <v>1</v>
      </c>
      <c r="T95">
        <v>3</v>
      </c>
      <c r="U95">
        <v>9</v>
      </c>
      <c r="V95">
        <v>4</v>
      </c>
      <c r="W95">
        <v>358</v>
      </c>
      <c r="X95">
        <v>90</v>
      </c>
    </row>
    <row r="96" spans="1:24" x14ac:dyDescent="0.3">
      <c r="A96">
        <v>87</v>
      </c>
      <c r="B96" t="s">
        <v>81</v>
      </c>
      <c r="C96" t="s">
        <v>27</v>
      </c>
      <c r="D96" t="s">
        <v>28</v>
      </c>
      <c r="E96" t="s">
        <v>201</v>
      </c>
      <c r="F96">
        <v>25</v>
      </c>
      <c r="G96" t="s">
        <v>134</v>
      </c>
      <c r="H96" s="1">
        <v>44833</v>
      </c>
      <c r="I96" s="1"/>
      <c r="J96" t="s">
        <v>131</v>
      </c>
      <c r="K96">
        <v>2022</v>
      </c>
      <c r="L96">
        <v>1307</v>
      </c>
      <c r="M96">
        <v>44</v>
      </c>
      <c r="N96">
        <v>7</v>
      </c>
      <c r="O96">
        <v>13468</v>
      </c>
      <c r="P96" t="s">
        <v>128</v>
      </c>
      <c r="Q96">
        <v>3.77</v>
      </c>
      <c r="R96" t="s">
        <v>133</v>
      </c>
      <c r="S96">
        <v>2</v>
      </c>
      <c r="T96">
        <v>4</v>
      </c>
      <c r="U96">
        <v>54</v>
      </c>
      <c r="V96">
        <v>6</v>
      </c>
      <c r="W96">
        <v>817</v>
      </c>
      <c r="X96">
        <v>136</v>
      </c>
    </row>
    <row r="97" spans="1:24" x14ac:dyDescent="0.3">
      <c r="A97">
        <v>88</v>
      </c>
      <c r="B97" t="s">
        <v>179</v>
      </c>
      <c r="C97" t="s">
        <v>20</v>
      </c>
      <c r="D97" t="s">
        <v>46</v>
      </c>
      <c r="E97" t="s">
        <v>202</v>
      </c>
      <c r="F97">
        <v>41</v>
      </c>
      <c r="G97" t="s">
        <v>126</v>
      </c>
      <c r="H97" s="1">
        <v>44606</v>
      </c>
      <c r="I97" s="1">
        <v>45206</v>
      </c>
      <c r="J97" t="s">
        <v>127</v>
      </c>
      <c r="K97">
        <v>2022</v>
      </c>
      <c r="L97">
        <v>595</v>
      </c>
      <c r="M97">
        <v>20</v>
      </c>
      <c r="N97">
        <v>5</v>
      </c>
      <c r="O97">
        <v>14777</v>
      </c>
      <c r="P97" t="s">
        <v>128</v>
      </c>
      <c r="Q97">
        <v>4.57</v>
      </c>
      <c r="R97" t="s">
        <v>128</v>
      </c>
      <c r="S97">
        <v>3</v>
      </c>
      <c r="T97">
        <v>1</v>
      </c>
      <c r="U97">
        <v>17</v>
      </c>
      <c r="V97">
        <v>19</v>
      </c>
      <c r="W97">
        <v>1987</v>
      </c>
      <c r="X97">
        <v>105</v>
      </c>
    </row>
    <row r="98" spans="1:24" x14ac:dyDescent="0.3">
      <c r="A98">
        <v>90</v>
      </c>
      <c r="B98" t="s">
        <v>82</v>
      </c>
      <c r="C98" t="s">
        <v>27</v>
      </c>
      <c r="D98" t="s">
        <v>49</v>
      </c>
      <c r="E98" t="s">
        <v>202</v>
      </c>
      <c r="F98">
        <v>26</v>
      </c>
      <c r="G98" t="s">
        <v>134</v>
      </c>
      <c r="H98" s="1">
        <v>43745</v>
      </c>
      <c r="I98" s="1"/>
      <c r="J98" t="s">
        <v>131</v>
      </c>
      <c r="K98">
        <v>2019</v>
      </c>
      <c r="L98">
        <v>2394</v>
      </c>
      <c r="M98">
        <v>80</v>
      </c>
      <c r="N98">
        <v>8</v>
      </c>
      <c r="O98">
        <v>6579</v>
      </c>
      <c r="P98" t="s">
        <v>132</v>
      </c>
      <c r="Q98">
        <v>4.3899999999999997</v>
      </c>
      <c r="R98" t="s">
        <v>133</v>
      </c>
      <c r="S98">
        <v>1</v>
      </c>
      <c r="T98">
        <v>1</v>
      </c>
      <c r="U98">
        <v>28</v>
      </c>
      <c r="V98">
        <v>27</v>
      </c>
      <c r="W98">
        <v>1094</v>
      </c>
      <c r="X98">
        <v>41</v>
      </c>
    </row>
    <row r="99" spans="1:24" x14ac:dyDescent="0.3">
      <c r="A99">
        <v>91</v>
      </c>
      <c r="B99" t="s">
        <v>83</v>
      </c>
      <c r="C99" t="s">
        <v>20</v>
      </c>
      <c r="D99" t="s">
        <v>21</v>
      </c>
      <c r="E99" t="s">
        <v>201</v>
      </c>
      <c r="F99">
        <v>35</v>
      </c>
      <c r="G99" t="s">
        <v>130</v>
      </c>
      <c r="H99" s="1">
        <v>44911</v>
      </c>
      <c r="I99" s="1"/>
      <c r="J99" t="s">
        <v>131</v>
      </c>
      <c r="K99">
        <v>2022</v>
      </c>
      <c r="L99">
        <v>1220</v>
      </c>
      <c r="M99">
        <v>41</v>
      </c>
      <c r="N99">
        <v>16</v>
      </c>
      <c r="O99">
        <v>5816</v>
      </c>
      <c r="P99" t="s">
        <v>129</v>
      </c>
      <c r="Q99">
        <v>3.21</v>
      </c>
      <c r="R99" t="s">
        <v>129</v>
      </c>
      <c r="S99">
        <v>5</v>
      </c>
      <c r="T99">
        <v>4</v>
      </c>
      <c r="U99">
        <v>42</v>
      </c>
      <c r="V99">
        <v>19</v>
      </c>
      <c r="W99">
        <v>193</v>
      </c>
      <c r="X99">
        <v>10</v>
      </c>
    </row>
    <row r="100" spans="1:24" x14ac:dyDescent="0.3">
      <c r="A100">
        <v>94</v>
      </c>
      <c r="B100" t="s">
        <v>180</v>
      </c>
      <c r="C100" t="s">
        <v>32</v>
      </c>
      <c r="D100" t="s">
        <v>42</v>
      </c>
      <c r="E100" t="s">
        <v>201</v>
      </c>
      <c r="F100">
        <v>47</v>
      </c>
      <c r="G100" t="s">
        <v>126</v>
      </c>
      <c r="H100" s="1">
        <v>44811</v>
      </c>
      <c r="I100" s="1"/>
      <c r="J100" t="s">
        <v>131</v>
      </c>
      <c r="K100">
        <v>2022</v>
      </c>
      <c r="L100">
        <v>1323</v>
      </c>
      <c r="M100">
        <v>44</v>
      </c>
      <c r="N100">
        <v>13</v>
      </c>
      <c r="O100">
        <v>14127</v>
      </c>
      <c r="P100" t="s">
        <v>128</v>
      </c>
      <c r="Q100">
        <v>3.65</v>
      </c>
      <c r="R100" t="s">
        <v>133</v>
      </c>
      <c r="S100">
        <v>3</v>
      </c>
      <c r="T100">
        <v>1</v>
      </c>
      <c r="U100">
        <v>54</v>
      </c>
      <c r="V100">
        <v>6</v>
      </c>
      <c r="W100">
        <v>598</v>
      </c>
      <c r="X100">
        <v>100</v>
      </c>
    </row>
    <row r="101" spans="1:24" x14ac:dyDescent="0.3">
      <c r="A101">
        <v>96</v>
      </c>
      <c r="B101" t="s">
        <v>181</v>
      </c>
      <c r="C101" t="s">
        <v>23</v>
      </c>
      <c r="D101" t="s">
        <v>30</v>
      </c>
      <c r="E101" t="s">
        <v>201</v>
      </c>
      <c r="F101">
        <v>30</v>
      </c>
      <c r="G101" t="s">
        <v>130</v>
      </c>
      <c r="H101" s="1">
        <v>44532</v>
      </c>
      <c r="I101" s="1"/>
      <c r="J101" t="s">
        <v>131</v>
      </c>
      <c r="K101">
        <v>2021</v>
      </c>
      <c r="L101">
        <v>1610</v>
      </c>
      <c r="M101">
        <v>54</v>
      </c>
      <c r="N101">
        <v>5</v>
      </c>
      <c r="O101">
        <v>7232</v>
      </c>
      <c r="P101" t="s">
        <v>132</v>
      </c>
      <c r="Q101">
        <v>2.93</v>
      </c>
      <c r="R101" t="s">
        <v>129</v>
      </c>
      <c r="S101">
        <v>2</v>
      </c>
      <c r="T101">
        <v>1</v>
      </c>
      <c r="U101">
        <v>60</v>
      </c>
      <c r="V101">
        <v>40</v>
      </c>
      <c r="W101">
        <v>1111</v>
      </c>
      <c r="X101">
        <v>28</v>
      </c>
    </row>
    <row r="102" spans="1:24" x14ac:dyDescent="0.3">
      <c r="A102">
        <v>97</v>
      </c>
      <c r="B102" t="s">
        <v>84</v>
      </c>
      <c r="C102" t="s">
        <v>32</v>
      </c>
      <c r="D102" t="s">
        <v>42</v>
      </c>
      <c r="E102" t="s">
        <v>202</v>
      </c>
      <c r="F102">
        <v>26</v>
      </c>
      <c r="G102" t="s">
        <v>134</v>
      </c>
      <c r="H102" s="1">
        <v>45410</v>
      </c>
      <c r="I102" s="1"/>
      <c r="J102" t="s">
        <v>131</v>
      </c>
      <c r="K102">
        <v>2024</v>
      </c>
      <c r="L102">
        <v>729</v>
      </c>
      <c r="M102">
        <v>24</v>
      </c>
      <c r="N102">
        <v>8</v>
      </c>
      <c r="O102">
        <v>11205</v>
      </c>
      <c r="P102" t="s">
        <v>128</v>
      </c>
      <c r="Q102">
        <v>2.67</v>
      </c>
      <c r="R102" t="s">
        <v>129</v>
      </c>
      <c r="S102">
        <v>4</v>
      </c>
      <c r="T102">
        <v>3</v>
      </c>
      <c r="U102">
        <v>37</v>
      </c>
      <c r="V102">
        <v>3</v>
      </c>
      <c r="W102">
        <v>820</v>
      </c>
      <c r="X102">
        <v>273</v>
      </c>
    </row>
    <row r="103" spans="1:24" x14ac:dyDescent="0.3">
      <c r="A103">
        <v>98</v>
      </c>
      <c r="B103" t="s">
        <v>85</v>
      </c>
      <c r="C103" t="s">
        <v>20</v>
      </c>
      <c r="D103" t="s">
        <v>21</v>
      </c>
      <c r="E103" t="s">
        <v>202</v>
      </c>
      <c r="F103">
        <v>48</v>
      </c>
      <c r="G103" t="s">
        <v>126</v>
      </c>
      <c r="H103" s="1">
        <v>43404</v>
      </c>
      <c r="I103" s="1"/>
      <c r="J103" t="s">
        <v>131</v>
      </c>
      <c r="K103">
        <v>2018</v>
      </c>
      <c r="L103">
        <v>2724</v>
      </c>
      <c r="M103">
        <v>91</v>
      </c>
      <c r="N103">
        <v>19</v>
      </c>
      <c r="O103">
        <v>8703</v>
      </c>
      <c r="P103" t="s">
        <v>132</v>
      </c>
      <c r="Q103">
        <v>2.69</v>
      </c>
      <c r="R103" t="s">
        <v>129</v>
      </c>
      <c r="S103">
        <v>1</v>
      </c>
      <c r="T103">
        <v>5</v>
      </c>
      <c r="U103">
        <v>32</v>
      </c>
      <c r="V103">
        <v>24</v>
      </c>
      <c r="W103">
        <v>1047</v>
      </c>
      <c r="X103">
        <v>44</v>
      </c>
    </row>
    <row r="104" spans="1:24" x14ac:dyDescent="0.3">
      <c r="A104">
        <v>99</v>
      </c>
      <c r="B104" t="s">
        <v>86</v>
      </c>
      <c r="C104" t="s">
        <v>20</v>
      </c>
      <c r="D104" t="s">
        <v>21</v>
      </c>
      <c r="E104" t="s">
        <v>201</v>
      </c>
      <c r="F104">
        <v>41</v>
      </c>
      <c r="G104" t="s">
        <v>126</v>
      </c>
      <c r="H104" s="1">
        <v>45371</v>
      </c>
      <c r="I104" s="1"/>
      <c r="J104" t="s">
        <v>131</v>
      </c>
      <c r="K104">
        <v>2024</v>
      </c>
      <c r="L104">
        <v>773</v>
      </c>
      <c r="M104">
        <v>26</v>
      </c>
      <c r="N104">
        <v>3</v>
      </c>
      <c r="O104">
        <v>11792</v>
      </c>
      <c r="P104" t="s">
        <v>128</v>
      </c>
      <c r="Q104">
        <v>3.75</v>
      </c>
      <c r="R104" t="s">
        <v>133</v>
      </c>
      <c r="S104">
        <v>1</v>
      </c>
      <c r="T104">
        <v>4</v>
      </c>
      <c r="U104">
        <v>51</v>
      </c>
      <c r="V104">
        <v>21</v>
      </c>
      <c r="W104">
        <v>1562</v>
      </c>
      <c r="X104">
        <v>74</v>
      </c>
    </row>
    <row r="105" spans="1:24" x14ac:dyDescent="0.3">
      <c r="A105">
        <v>100</v>
      </c>
      <c r="B105" t="s">
        <v>87</v>
      </c>
      <c r="C105" t="s">
        <v>35</v>
      </c>
      <c r="D105" t="s">
        <v>44</v>
      </c>
      <c r="E105" t="s">
        <v>201</v>
      </c>
      <c r="F105">
        <v>38</v>
      </c>
      <c r="G105" t="s">
        <v>130</v>
      </c>
      <c r="H105" s="1">
        <v>45167</v>
      </c>
      <c r="I105" s="1"/>
      <c r="J105" t="s">
        <v>131</v>
      </c>
      <c r="K105">
        <v>2023</v>
      </c>
      <c r="L105">
        <v>971</v>
      </c>
      <c r="M105">
        <v>32</v>
      </c>
      <c r="N105">
        <v>9</v>
      </c>
      <c r="O105">
        <v>12564</v>
      </c>
      <c r="P105" t="s">
        <v>128</v>
      </c>
      <c r="Q105">
        <v>4.0199999999999996</v>
      </c>
      <c r="R105" t="s">
        <v>133</v>
      </c>
      <c r="S105">
        <v>3</v>
      </c>
      <c r="T105">
        <v>3</v>
      </c>
      <c r="U105">
        <v>24</v>
      </c>
      <c r="V105">
        <v>26</v>
      </c>
      <c r="W105">
        <v>1686</v>
      </c>
      <c r="X105">
        <v>65</v>
      </c>
    </row>
    <row r="106" spans="1:24" x14ac:dyDescent="0.3">
      <c r="A106">
        <v>103</v>
      </c>
      <c r="B106" t="s">
        <v>88</v>
      </c>
      <c r="C106" t="s">
        <v>27</v>
      </c>
      <c r="D106" t="s">
        <v>28</v>
      </c>
      <c r="E106" t="s">
        <v>201</v>
      </c>
      <c r="F106">
        <v>28</v>
      </c>
      <c r="G106" t="s">
        <v>134</v>
      </c>
      <c r="H106" s="1">
        <v>43175</v>
      </c>
      <c r="I106" s="1"/>
      <c r="J106" t="s">
        <v>131</v>
      </c>
      <c r="K106">
        <v>2018</v>
      </c>
      <c r="L106">
        <v>2963</v>
      </c>
      <c r="M106">
        <v>99</v>
      </c>
      <c r="N106">
        <v>9</v>
      </c>
      <c r="O106">
        <v>7711</v>
      </c>
      <c r="P106" t="s">
        <v>132</v>
      </c>
      <c r="Q106">
        <v>5</v>
      </c>
      <c r="R106" t="s">
        <v>128</v>
      </c>
      <c r="S106">
        <v>2</v>
      </c>
      <c r="T106">
        <v>1</v>
      </c>
      <c r="U106">
        <v>54</v>
      </c>
      <c r="V106">
        <v>6</v>
      </c>
      <c r="W106">
        <v>1139</v>
      </c>
      <c r="X106">
        <v>190</v>
      </c>
    </row>
    <row r="107" spans="1:24" x14ac:dyDescent="0.3">
      <c r="A107">
        <v>105</v>
      </c>
      <c r="B107" t="s">
        <v>182</v>
      </c>
      <c r="C107" t="s">
        <v>17</v>
      </c>
      <c r="D107" t="s">
        <v>53</v>
      </c>
      <c r="E107" t="s">
        <v>202</v>
      </c>
      <c r="F107">
        <v>39</v>
      </c>
      <c r="G107" t="s">
        <v>130</v>
      </c>
      <c r="H107" s="1">
        <v>44073</v>
      </c>
      <c r="I107" s="1"/>
      <c r="J107" t="s">
        <v>131</v>
      </c>
      <c r="K107">
        <v>2020</v>
      </c>
      <c r="L107">
        <v>2063</v>
      </c>
      <c r="M107">
        <v>69</v>
      </c>
      <c r="N107">
        <v>11</v>
      </c>
      <c r="O107">
        <v>7918</v>
      </c>
      <c r="P107" t="s">
        <v>132</v>
      </c>
      <c r="Q107">
        <v>3.27</v>
      </c>
      <c r="R107" t="s">
        <v>129</v>
      </c>
      <c r="S107">
        <v>4</v>
      </c>
      <c r="T107">
        <v>2</v>
      </c>
      <c r="U107">
        <v>43</v>
      </c>
      <c r="V107">
        <v>36</v>
      </c>
      <c r="W107">
        <v>1002</v>
      </c>
      <c r="X107">
        <v>28</v>
      </c>
    </row>
    <row r="108" spans="1:24" x14ac:dyDescent="0.3">
      <c r="A108">
        <v>107</v>
      </c>
      <c r="B108" t="s">
        <v>183</v>
      </c>
      <c r="C108" t="s">
        <v>27</v>
      </c>
      <c r="D108" t="s">
        <v>28</v>
      </c>
      <c r="E108" t="s">
        <v>202</v>
      </c>
      <c r="F108">
        <v>46</v>
      </c>
      <c r="G108" t="s">
        <v>126</v>
      </c>
      <c r="H108" s="1">
        <v>45372</v>
      </c>
      <c r="I108" s="1"/>
      <c r="J108" t="s">
        <v>131</v>
      </c>
      <c r="K108">
        <v>2024</v>
      </c>
      <c r="L108">
        <v>762</v>
      </c>
      <c r="M108">
        <v>25</v>
      </c>
      <c r="N108">
        <v>13</v>
      </c>
      <c r="O108">
        <v>6626</v>
      </c>
      <c r="P108" t="s">
        <v>132</v>
      </c>
      <c r="Q108">
        <v>3.18</v>
      </c>
      <c r="R108" t="s">
        <v>129</v>
      </c>
      <c r="S108">
        <v>5</v>
      </c>
      <c r="T108">
        <v>2</v>
      </c>
      <c r="U108">
        <v>5</v>
      </c>
      <c r="V108">
        <v>14</v>
      </c>
      <c r="W108">
        <v>1772</v>
      </c>
      <c r="X108">
        <v>127</v>
      </c>
    </row>
    <row r="109" spans="1:24" x14ac:dyDescent="0.3">
      <c r="A109">
        <v>108</v>
      </c>
      <c r="B109" t="s">
        <v>89</v>
      </c>
      <c r="C109" t="s">
        <v>32</v>
      </c>
      <c r="D109" t="s">
        <v>42</v>
      </c>
      <c r="E109" t="s">
        <v>202</v>
      </c>
      <c r="F109">
        <v>29</v>
      </c>
      <c r="G109" t="s">
        <v>134</v>
      </c>
      <c r="H109" s="1">
        <v>44532</v>
      </c>
      <c r="I109" s="1"/>
      <c r="J109" t="s">
        <v>131</v>
      </c>
      <c r="K109">
        <v>2021</v>
      </c>
      <c r="L109">
        <v>1615</v>
      </c>
      <c r="M109">
        <v>54</v>
      </c>
      <c r="N109">
        <v>0</v>
      </c>
      <c r="O109">
        <v>10326</v>
      </c>
      <c r="P109" t="s">
        <v>128</v>
      </c>
      <c r="Q109">
        <v>4.99</v>
      </c>
      <c r="R109" t="s">
        <v>128</v>
      </c>
      <c r="S109">
        <v>3</v>
      </c>
      <c r="T109">
        <v>2</v>
      </c>
      <c r="U109">
        <v>20</v>
      </c>
      <c r="V109">
        <v>6</v>
      </c>
      <c r="W109">
        <v>1818</v>
      </c>
      <c r="X109">
        <v>303</v>
      </c>
    </row>
    <row r="110" spans="1:24" x14ac:dyDescent="0.3">
      <c r="A110">
        <v>109</v>
      </c>
      <c r="B110" t="s">
        <v>90</v>
      </c>
      <c r="C110" t="s">
        <v>17</v>
      </c>
      <c r="D110" t="s">
        <v>53</v>
      </c>
      <c r="E110" t="s">
        <v>201</v>
      </c>
      <c r="F110">
        <v>44</v>
      </c>
      <c r="G110" t="s">
        <v>126</v>
      </c>
      <c r="H110" s="1">
        <v>44474</v>
      </c>
      <c r="I110" s="1"/>
      <c r="J110" t="s">
        <v>131</v>
      </c>
      <c r="K110">
        <v>2021</v>
      </c>
      <c r="L110">
        <v>1654</v>
      </c>
      <c r="M110">
        <v>55</v>
      </c>
      <c r="N110">
        <v>19</v>
      </c>
      <c r="O110">
        <v>6273</v>
      </c>
      <c r="P110" t="s">
        <v>132</v>
      </c>
      <c r="Q110">
        <v>4.4000000000000004</v>
      </c>
      <c r="R110" t="s">
        <v>133</v>
      </c>
      <c r="S110">
        <v>4</v>
      </c>
      <c r="T110">
        <v>4</v>
      </c>
      <c r="U110">
        <v>0</v>
      </c>
      <c r="V110">
        <v>5</v>
      </c>
      <c r="W110">
        <v>138</v>
      </c>
      <c r="X110">
        <v>28</v>
      </c>
    </row>
    <row r="111" spans="1:24" x14ac:dyDescent="0.3">
      <c r="A111">
        <v>110</v>
      </c>
      <c r="B111" t="s">
        <v>184</v>
      </c>
      <c r="C111" t="s">
        <v>27</v>
      </c>
      <c r="D111" t="s">
        <v>28</v>
      </c>
      <c r="E111" t="s">
        <v>202</v>
      </c>
      <c r="F111">
        <v>46</v>
      </c>
      <c r="G111" t="s">
        <v>126</v>
      </c>
      <c r="H111" s="1">
        <v>43984</v>
      </c>
      <c r="I111" s="1"/>
      <c r="J111" t="s">
        <v>131</v>
      </c>
      <c r="K111">
        <v>2020</v>
      </c>
      <c r="L111">
        <v>2156</v>
      </c>
      <c r="M111">
        <v>72</v>
      </c>
      <c r="N111">
        <v>7</v>
      </c>
      <c r="O111">
        <v>8720</v>
      </c>
      <c r="P111" t="s">
        <v>132</v>
      </c>
      <c r="Q111">
        <v>3.09</v>
      </c>
      <c r="R111" t="s">
        <v>129</v>
      </c>
      <c r="S111">
        <v>1</v>
      </c>
      <c r="T111">
        <v>1</v>
      </c>
      <c r="U111">
        <v>26</v>
      </c>
      <c r="V111">
        <v>40</v>
      </c>
      <c r="W111">
        <v>1725</v>
      </c>
      <c r="X111">
        <v>43</v>
      </c>
    </row>
    <row r="112" spans="1:24" x14ac:dyDescent="0.3">
      <c r="A112">
        <v>170</v>
      </c>
      <c r="B112" t="s">
        <v>16</v>
      </c>
      <c r="C112" t="s">
        <v>35</v>
      </c>
      <c r="D112" t="s">
        <v>44</v>
      </c>
      <c r="E112" t="s">
        <v>201</v>
      </c>
      <c r="F112">
        <v>23</v>
      </c>
      <c r="G112" t="s">
        <v>134</v>
      </c>
      <c r="H112" s="1">
        <v>45264</v>
      </c>
      <c r="I112" s="1"/>
      <c r="J112" t="s">
        <v>131</v>
      </c>
      <c r="K112">
        <v>2023</v>
      </c>
      <c r="L112">
        <v>865</v>
      </c>
      <c r="M112">
        <v>29</v>
      </c>
      <c r="N112">
        <v>18</v>
      </c>
      <c r="O112">
        <v>5218</v>
      </c>
      <c r="P112" t="s">
        <v>129</v>
      </c>
      <c r="Q112">
        <v>4.21</v>
      </c>
      <c r="R112" t="s">
        <v>133</v>
      </c>
      <c r="S112">
        <v>3</v>
      </c>
      <c r="T112">
        <v>5</v>
      </c>
      <c r="U112">
        <v>42</v>
      </c>
      <c r="V112">
        <v>2</v>
      </c>
      <c r="W112">
        <v>467</v>
      </c>
      <c r="X112">
        <v>234</v>
      </c>
    </row>
    <row r="113" spans="1:24" x14ac:dyDescent="0.3">
      <c r="A113">
        <v>111</v>
      </c>
      <c r="B113" t="s">
        <v>50</v>
      </c>
      <c r="C113" t="s">
        <v>20</v>
      </c>
      <c r="D113" t="s">
        <v>21</v>
      </c>
      <c r="E113" t="s">
        <v>202</v>
      </c>
      <c r="F113">
        <v>44</v>
      </c>
      <c r="G113" t="s">
        <v>126</v>
      </c>
      <c r="H113" s="1">
        <v>44973</v>
      </c>
      <c r="I113" s="1"/>
      <c r="J113" t="s">
        <v>131</v>
      </c>
      <c r="K113">
        <v>2023</v>
      </c>
      <c r="L113">
        <v>1163</v>
      </c>
      <c r="M113">
        <v>39</v>
      </c>
      <c r="N113">
        <v>11</v>
      </c>
      <c r="O113">
        <v>6352</v>
      </c>
      <c r="P113" t="s">
        <v>132</v>
      </c>
      <c r="Q113">
        <v>3.23</v>
      </c>
      <c r="R113" t="s">
        <v>129</v>
      </c>
      <c r="S113">
        <v>1</v>
      </c>
      <c r="T113">
        <v>5</v>
      </c>
      <c r="U113">
        <v>15</v>
      </c>
      <c r="V113">
        <v>36</v>
      </c>
      <c r="W113">
        <v>953</v>
      </c>
      <c r="X113">
        <v>26</v>
      </c>
    </row>
    <row r="114" spans="1:24" x14ac:dyDescent="0.3">
      <c r="A114">
        <v>198</v>
      </c>
      <c r="B114" t="s">
        <v>19</v>
      </c>
      <c r="C114" t="s">
        <v>32</v>
      </c>
      <c r="D114" t="s">
        <v>33</v>
      </c>
      <c r="E114" t="s">
        <v>202</v>
      </c>
      <c r="F114">
        <v>48</v>
      </c>
      <c r="G114" t="s">
        <v>126</v>
      </c>
      <c r="H114" s="1">
        <v>44568</v>
      </c>
      <c r="I114" s="1"/>
      <c r="J114" t="s">
        <v>131</v>
      </c>
      <c r="K114">
        <v>2022</v>
      </c>
      <c r="L114">
        <v>1569</v>
      </c>
      <c r="M114">
        <v>52</v>
      </c>
      <c r="N114">
        <v>10</v>
      </c>
      <c r="O114">
        <v>7470</v>
      </c>
      <c r="P114" t="s">
        <v>132</v>
      </c>
      <c r="Q114">
        <v>3.74</v>
      </c>
      <c r="R114" t="s">
        <v>133</v>
      </c>
      <c r="S114">
        <v>3</v>
      </c>
      <c r="T114">
        <v>3</v>
      </c>
      <c r="U114">
        <v>35</v>
      </c>
      <c r="V114">
        <v>36</v>
      </c>
      <c r="W114">
        <v>367</v>
      </c>
      <c r="X114">
        <v>10</v>
      </c>
    </row>
    <row r="115" spans="1:24" x14ac:dyDescent="0.3">
      <c r="A115">
        <v>112</v>
      </c>
      <c r="B115" t="s">
        <v>185</v>
      </c>
      <c r="C115" t="s">
        <v>23</v>
      </c>
      <c r="D115" t="s">
        <v>71</v>
      </c>
      <c r="E115" t="s">
        <v>202</v>
      </c>
      <c r="F115">
        <v>34</v>
      </c>
      <c r="G115" t="s">
        <v>130</v>
      </c>
      <c r="H115" s="1">
        <v>43451</v>
      </c>
      <c r="I115" s="1"/>
      <c r="J115" t="s">
        <v>131</v>
      </c>
      <c r="K115">
        <v>2018</v>
      </c>
      <c r="L115">
        <v>2688</v>
      </c>
      <c r="M115">
        <v>90</v>
      </c>
      <c r="N115">
        <v>8</v>
      </c>
      <c r="O115">
        <v>11702</v>
      </c>
      <c r="P115" t="s">
        <v>128</v>
      </c>
      <c r="Q115">
        <v>2.61</v>
      </c>
      <c r="R115" t="s">
        <v>129</v>
      </c>
      <c r="S115">
        <v>4</v>
      </c>
      <c r="T115">
        <v>3</v>
      </c>
      <c r="U115">
        <v>47</v>
      </c>
      <c r="V115">
        <v>1</v>
      </c>
      <c r="W115">
        <v>831</v>
      </c>
      <c r="X115">
        <v>831</v>
      </c>
    </row>
    <row r="116" spans="1:24" x14ac:dyDescent="0.3">
      <c r="A116">
        <v>129</v>
      </c>
      <c r="B116" t="s">
        <v>22</v>
      </c>
      <c r="C116" t="s">
        <v>23</v>
      </c>
      <c r="D116" t="s">
        <v>30</v>
      </c>
      <c r="E116" t="s">
        <v>201</v>
      </c>
      <c r="F116">
        <v>25</v>
      </c>
      <c r="G116" t="s">
        <v>134</v>
      </c>
      <c r="H116" s="1">
        <v>44618</v>
      </c>
      <c r="I116" s="1"/>
      <c r="J116" t="s">
        <v>131</v>
      </c>
      <c r="K116">
        <v>2022</v>
      </c>
      <c r="L116">
        <v>1528</v>
      </c>
      <c r="M116">
        <v>51</v>
      </c>
      <c r="N116">
        <v>1</v>
      </c>
      <c r="O116">
        <v>8382</v>
      </c>
      <c r="P116" t="s">
        <v>132</v>
      </c>
      <c r="Q116">
        <v>3.62</v>
      </c>
      <c r="R116" t="s">
        <v>133</v>
      </c>
      <c r="S116">
        <v>2</v>
      </c>
      <c r="T116">
        <v>1</v>
      </c>
      <c r="U116">
        <v>18</v>
      </c>
      <c r="V116">
        <v>24</v>
      </c>
      <c r="W116">
        <v>1869</v>
      </c>
      <c r="X116">
        <v>78</v>
      </c>
    </row>
    <row r="117" spans="1:24" x14ac:dyDescent="0.3">
      <c r="A117">
        <v>146</v>
      </c>
      <c r="B117" t="s">
        <v>22</v>
      </c>
      <c r="C117" t="s">
        <v>20</v>
      </c>
      <c r="D117" t="s">
        <v>21</v>
      </c>
      <c r="E117" t="s">
        <v>201</v>
      </c>
      <c r="F117">
        <v>42</v>
      </c>
      <c r="G117" t="s">
        <v>126</v>
      </c>
      <c r="H117" s="1">
        <v>45018</v>
      </c>
      <c r="I117" s="1"/>
      <c r="J117" t="s">
        <v>131</v>
      </c>
      <c r="K117">
        <v>2023</v>
      </c>
      <c r="L117">
        <v>1120</v>
      </c>
      <c r="M117">
        <v>37</v>
      </c>
      <c r="N117">
        <v>9</v>
      </c>
      <c r="O117">
        <v>8215</v>
      </c>
      <c r="P117" t="s">
        <v>132</v>
      </c>
      <c r="Q117">
        <v>4.3</v>
      </c>
      <c r="R117" t="s">
        <v>133</v>
      </c>
      <c r="S117">
        <v>1</v>
      </c>
      <c r="T117">
        <v>3</v>
      </c>
      <c r="U117">
        <v>36</v>
      </c>
      <c r="V117">
        <v>12</v>
      </c>
      <c r="W117">
        <v>459</v>
      </c>
      <c r="X117">
        <v>38</v>
      </c>
    </row>
    <row r="118" spans="1:24" x14ac:dyDescent="0.3">
      <c r="A118">
        <v>113</v>
      </c>
      <c r="B118" t="s">
        <v>186</v>
      </c>
      <c r="C118" t="s">
        <v>35</v>
      </c>
      <c r="D118" t="s">
        <v>56</v>
      </c>
      <c r="E118" t="s">
        <v>201</v>
      </c>
      <c r="F118">
        <v>23</v>
      </c>
      <c r="G118" t="s">
        <v>134</v>
      </c>
      <c r="H118" s="1">
        <v>44513</v>
      </c>
      <c r="I118" s="1"/>
      <c r="J118" t="s">
        <v>131</v>
      </c>
      <c r="K118">
        <v>2021</v>
      </c>
      <c r="L118">
        <v>1619</v>
      </c>
      <c r="M118">
        <v>54</v>
      </c>
      <c r="N118">
        <v>15</v>
      </c>
      <c r="O118">
        <v>9772</v>
      </c>
      <c r="P118" t="s">
        <v>132</v>
      </c>
      <c r="Q118">
        <v>3.87</v>
      </c>
      <c r="R118" t="s">
        <v>133</v>
      </c>
      <c r="S118">
        <v>2</v>
      </c>
      <c r="T118">
        <v>4</v>
      </c>
      <c r="U118">
        <v>40</v>
      </c>
      <c r="V118">
        <v>11</v>
      </c>
      <c r="W118">
        <v>1761</v>
      </c>
      <c r="X118">
        <v>160</v>
      </c>
    </row>
    <row r="119" spans="1:24" x14ac:dyDescent="0.3">
      <c r="A119">
        <v>114</v>
      </c>
      <c r="B119" t="s">
        <v>85</v>
      </c>
      <c r="C119" t="s">
        <v>23</v>
      </c>
      <c r="D119" t="s">
        <v>24</v>
      </c>
      <c r="E119" t="s">
        <v>202</v>
      </c>
      <c r="F119">
        <v>23</v>
      </c>
      <c r="G119" t="s">
        <v>134</v>
      </c>
      <c r="H119" s="1">
        <v>43359</v>
      </c>
      <c r="I119" s="1"/>
      <c r="J119" t="s">
        <v>131</v>
      </c>
      <c r="K119">
        <v>2018</v>
      </c>
      <c r="L119">
        <v>2772</v>
      </c>
      <c r="M119">
        <v>92</v>
      </c>
      <c r="N119">
        <v>16</v>
      </c>
      <c r="O119">
        <v>7268</v>
      </c>
      <c r="P119" t="s">
        <v>132</v>
      </c>
      <c r="Q119">
        <v>4.71</v>
      </c>
      <c r="R119" t="s">
        <v>128</v>
      </c>
      <c r="S119">
        <v>3</v>
      </c>
      <c r="T119">
        <v>3</v>
      </c>
      <c r="U119">
        <v>25</v>
      </c>
      <c r="V119">
        <v>34</v>
      </c>
      <c r="W119">
        <v>1069</v>
      </c>
      <c r="X119">
        <v>31</v>
      </c>
    </row>
    <row r="120" spans="1:24" x14ac:dyDescent="0.3">
      <c r="A120">
        <v>115</v>
      </c>
      <c r="B120" t="s">
        <v>72</v>
      </c>
      <c r="C120" t="s">
        <v>27</v>
      </c>
      <c r="D120" t="s">
        <v>28</v>
      </c>
      <c r="E120" t="s">
        <v>201</v>
      </c>
      <c r="F120">
        <v>49</v>
      </c>
      <c r="G120" t="s">
        <v>126</v>
      </c>
      <c r="H120" s="1">
        <v>43250</v>
      </c>
      <c r="I120" s="1"/>
      <c r="J120" t="s">
        <v>131</v>
      </c>
      <c r="K120">
        <v>2018</v>
      </c>
      <c r="L120">
        <v>2884</v>
      </c>
      <c r="M120">
        <v>96</v>
      </c>
      <c r="N120">
        <v>13</v>
      </c>
      <c r="O120">
        <v>14743</v>
      </c>
      <c r="P120" t="s">
        <v>128</v>
      </c>
      <c r="Q120">
        <v>3.33</v>
      </c>
      <c r="R120" t="s">
        <v>129</v>
      </c>
      <c r="S120">
        <v>1</v>
      </c>
      <c r="T120">
        <v>3</v>
      </c>
      <c r="U120">
        <v>56</v>
      </c>
      <c r="V120">
        <v>25</v>
      </c>
      <c r="W120">
        <v>1622</v>
      </c>
      <c r="X120">
        <v>65</v>
      </c>
    </row>
    <row r="121" spans="1:24" x14ac:dyDescent="0.3">
      <c r="A121">
        <v>167</v>
      </c>
      <c r="B121" t="s">
        <v>29</v>
      </c>
      <c r="C121" t="s">
        <v>20</v>
      </c>
      <c r="D121" t="s">
        <v>46</v>
      </c>
      <c r="E121" t="s">
        <v>201</v>
      </c>
      <c r="F121">
        <v>38</v>
      </c>
      <c r="G121" t="s">
        <v>130</v>
      </c>
      <c r="H121" s="1">
        <v>44785</v>
      </c>
      <c r="I121" s="1"/>
      <c r="J121" t="s">
        <v>131</v>
      </c>
      <c r="K121">
        <v>2022</v>
      </c>
      <c r="L121">
        <v>1359</v>
      </c>
      <c r="M121">
        <v>45</v>
      </c>
      <c r="N121">
        <v>3</v>
      </c>
      <c r="O121">
        <v>11054</v>
      </c>
      <c r="P121" t="s">
        <v>128</v>
      </c>
      <c r="Q121">
        <v>4.5199999999999996</v>
      </c>
      <c r="R121" t="s">
        <v>128</v>
      </c>
      <c r="S121">
        <v>2</v>
      </c>
      <c r="T121">
        <v>1</v>
      </c>
      <c r="U121">
        <v>33</v>
      </c>
      <c r="V121">
        <v>9</v>
      </c>
      <c r="W121">
        <v>593</v>
      </c>
      <c r="X121">
        <v>66</v>
      </c>
    </row>
    <row r="122" spans="1:24" x14ac:dyDescent="0.3">
      <c r="A122">
        <v>116</v>
      </c>
      <c r="B122" t="s">
        <v>91</v>
      </c>
      <c r="C122" t="s">
        <v>32</v>
      </c>
      <c r="D122" t="s">
        <v>42</v>
      </c>
      <c r="E122" t="s">
        <v>201</v>
      </c>
      <c r="F122">
        <v>47</v>
      </c>
      <c r="G122" t="s">
        <v>126</v>
      </c>
      <c r="H122" s="1">
        <v>44684</v>
      </c>
      <c r="I122" s="1"/>
      <c r="J122" t="s">
        <v>131</v>
      </c>
      <c r="K122">
        <v>2022</v>
      </c>
      <c r="L122">
        <v>1461</v>
      </c>
      <c r="M122">
        <v>49</v>
      </c>
      <c r="N122">
        <v>2</v>
      </c>
      <c r="O122">
        <v>12507</v>
      </c>
      <c r="P122" t="s">
        <v>128</v>
      </c>
      <c r="Q122">
        <v>3.17</v>
      </c>
      <c r="R122" t="s">
        <v>129</v>
      </c>
      <c r="S122">
        <v>1</v>
      </c>
      <c r="T122">
        <v>4</v>
      </c>
      <c r="U122">
        <v>27</v>
      </c>
      <c r="V122">
        <v>38</v>
      </c>
      <c r="W122">
        <v>1784</v>
      </c>
      <c r="X122">
        <v>47</v>
      </c>
    </row>
    <row r="123" spans="1:24" x14ac:dyDescent="0.3">
      <c r="A123">
        <v>128</v>
      </c>
      <c r="B123" t="s">
        <v>91</v>
      </c>
      <c r="C123" t="s">
        <v>32</v>
      </c>
      <c r="D123" t="s">
        <v>42</v>
      </c>
      <c r="E123" t="s">
        <v>201</v>
      </c>
      <c r="F123">
        <v>36</v>
      </c>
      <c r="G123" t="s">
        <v>130</v>
      </c>
      <c r="H123" s="1">
        <v>43399</v>
      </c>
      <c r="I123" s="1"/>
      <c r="J123" t="s">
        <v>131</v>
      </c>
      <c r="K123">
        <v>2018</v>
      </c>
      <c r="L123">
        <v>2738</v>
      </c>
      <c r="M123">
        <v>91</v>
      </c>
      <c r="N123">
        <v>10</v>
      </c>
      <c r="O123">
        <v>7342</v>
      </c>
      <c r="P123" t="s">
        <v>132</v>
      </c>
      <c r="Q123">
        <v>3.35</v>
      </c>
      <c r="R123" t="s">
        <v>129</v>
      </c>
      <c r="S123">
        <v>2</v>
      </c>
      <c r="T123">
        <v>3</v>
      </c>
      <c r="U123">
        <v>46</v>
      </c>
      <c r="V123">
        <v>22</v>
      </c>
      <c r="W123">
        <v>916</v>
      </c>
      <c r="X123">
        <v>42</v>
      </c>
    </row>
    <row r="124" spans="1:24" x14ac:dyDescent="0.3">
      <c r="A124">
        <v>117</v>
      </c>
      <c r="B124" t="s">
        <v>92</v>
      </c>
      <c r="C124" t="s">
        <v>23</v>
      </c>
      <c r="D124" t="s">
        <v>24</v>
      </c>
      <c r="E124" t="s">
        <v>201</v>
      </c>
      <c r="F124">
        <v>31</v>
      </c>
      <c r="G124" t="s">
        <v>130</v>
      </c>
      <c r="H124" s="1">
        <v>45335</v>
      </c>
      <c r="I124" s="1"/>
      <c r="J124" t="s">
        <v>131</v>
      </c>
      <c r="K124">
        <v>2024</v>
      </c>
      <c r="L124">
        <v>798</v>
      </c>
      <c r="M124">
        <v>27</v>
      </c>
      <c r="N124">
        <v>14</v>
      </c>
      <c r="O124">
        <v>11305</v>
      </c>
      <c r="P124" t="s">
        <v>128</v>
      </c>
      <c r="Q124">
        <v>4.01</v>
      </c>
      <c r="R124" t="s">
        <v>133</v>
      </c>
      <c r="S124">
        <v>4</v>
      </c>
      <c r="T124">
        <v>2</v>
      </c>
      <c r="U124">
        <v>22</v>
      </c>
      <c r="V124">
        <v>28</v>
      </c>
      <c r="W124">
        <v>186</v>
      </c>
      <c r="X124">
        <v>7</v>
      </c>
    </row>
    <row r="125" spans="1:24" x14ac:dyDescent="0.3">
      <c r="A125">
        <v>118</v>
      </c>
      <c r="B125" t="s">
        <v>62</v>
      </c>
      <c r="C125" t="s">
        <v>17</v>
      </c>
      <c r="D125" t="s">
        <v>18</v>
      </c>
      <c r="E125" t="s">
        <v>202</v>
      </c>
      <c r="F125">
        <v>43</v>
      </c>
      <c r="G125" t="s">
        <v>126</v>
      </c>
      <c r="H125" s="1">
        <v>44545</v>
      </c>
      <c r="I125" s="1"/>
      <c r="J125" t="s">
        <v>131</v>
      </c>
      <c r="K125">
        <v>2021</v>
      </c>
      <c r="L125">
        <v>1602</v>
      </c>
      <c r="M125">
        <v>53</v>
      </c>
      <c r="N125">
        <v>0</v>
      </c>
      <c r="O125">
        <v>14445</v>
      </c>
      <c r="P125" t="s">
        <v>128</v>
      </c>
      <c r="Q125">
        <v>3.52</v>
      </c>
      <c r="R125" t="s">
        <v>133</v>
      </c>
      <c r="S125">
        <v>5</v>
      </c>
      <c r="T125">
        <v>2</v>
      </c>
      <c r="U125">
        <v>9</v>
      </c>
      <c r="V125">
        <v>38</v>
      </c>
      <c r="W125">
        <v>1488</v>
      </c>
      <c r="X125">
        <v>39</v>
      </c>
    </row>
    <row r="126" spans="1:24" x14ac:dyDescent="0.3">
      <c r="A126">
        <v>119</v>
      </c>
      <c r="B126" t="s">
        <v>187</v>
      </c>
      <c r="C126" t="s">
        <v>32</v>
      </c>
      <c r="D126" t="s">
        <v>42</v>
      </c>
      <c r="E126" t="s">
        <v>202</v>
      </c>
      <c r="F126">
        <v>41</v>
      </c>
      <c r="G126" t="s">
        <v>126</v>
      </c>
      <c r="H126" s="1">
        <v>43243</v>
      </c>
      <c r="I126" s="1">
        <v>43756</v>
      </c>
      <c r="J126" t="s">
        <v>127</v>
      </c>
      <c r="K126">
        <v>2018</v>
      </c>
      <c r="L126">
        <v>499</v>
      </c>
      <c r="M126">
        <v>17</v>
      </c>
      <c r="N126">
        <v>14</v>
      </c>
      <c r="O126">
        <v>6513</v>
      </c>
      <c r="P126" t="s">
        <v>132</v>
      </c>
      <c r="Q126">
        <v>4.2</v>
      </c>
      <c r="R126" t="s">
        <v>133</v>
      </c>
      <c r="S126">
        <v>3</v>
      </c>
      <c r="T126">
        <v>3</v>
      </c>
      <c r="U126">
        <v>48</v>
      </c>
      <c r="V126">
        <v>4</v>
      </c>
      <c r="W126">
        <v>1275</v>
      </c>
      <c r="X126">
        <v>319</v>
      </c>
    </row>
    <row r="127" spans="1:24" x14ac:dyDescent="0.3">
      <c r="A127">
        <v>120</v>
      </c>
      <c r="B127" t="s">
        <v>93</v>
      </c>
      <c r="C127" t="s">
        <v>23</v>
      </c>
      <c r="D127" t="s">
        <v>30</v>
      </c>
      <c r="E127" t="s">
        <v>202</v>
      </c>
      <c r="F127">
        <v>22</v>
      </c>
      <c r="G127" t="s">
        <v>134</v>
      </c>
      <c r="H127" s="1">
        <v>45269</v>
      </c>
      <c r="I127" s="1"/>
      <c r="J127" t="s">
        <v>131</v>
      </c>
      <c r="K127">
        <v>2023</v>
      </c>
      <c r="L127">
        <v>875</v>
      </c>
      <c r="M127">
        <v>29</v>
      </c>
      <c r="N127">
        <v>3</v>
      </c>
      <c r="O127">
        <v>7048</v>
      </c>
      <c r="P127" t="s">
        <v>132</v>
      </c>
      <c r="Q127">
        <v>3.75</v>
      </c>
      <c r="R127" t="s">
        <v>133</v>
      </c>
      <c r="S127">
        <v>4</v>
      </c>
      <c r="T127">
        <v>5</v>
      </c>
      <c r="U127">
        <v>16</v>
      </c>
      <c r="V127">
        <v>16</v>
      </c>
      <c r="W127">
        <v>1541</v>
      </c>
      <c r="X127">
        <v>96</v>
      </c>
    </row>
    <row r="128" spans="1:24" x14ac:dyDescent="0.3">
      <c r="A128">
        <v>148</v>
      </c>
      <c r="B128" t="s">
        <v>93</v>
      </c>
      <c r="C128" t="s">
        <v>27</v>
      </c>
      <c r="D128" t="s">
        <v>49</v>
      </c>
      <c r="E128" t="s">
        <v>202</v>
      </c>
      <c r="F128">
        <v>42</v>
      </c>
      <c r="G128" t="s">
        <v>126</v>
      </c>
      <c r="H128" s="1">
        <v>44672</v>
      </c>
      <c r="I128" s="1">
        <v>45248</v>
      </c>
      <c r="J128" t="s">
        <v>127</v>
      </c>
      <c r="K128">
        <v>2022</v>
      </c>
      <c r="L128">
        <v>562</v>
      </c>
      <c r="M128">
        <v>19</v>
      </c>
      <c r="N128">
        <v>14</v>
      </c>
      <c r="O128">
        <v>9890</v>
      </c>
      <c r="P128" t="s">
        <v>132</v>
      </c>
      <c r="Q128">
        <v>4.2300000000000004</v>
      </c>
      <c r="R128" t="s">
        <v>133</v>
      </c>
      <c r="S128">
        <v>1</v>
      </c>
      <c r="T128">
        <v>1</v>
      </c>
      <c r="U128">
        <v>19</v>
      </c>
      <c r="V128">
        <v>10</v>
      </c>
      <c r="W128">
        <v>930</v>
      </c>
      <c r="X128">
        <v>93</v>
      </c>
    </row>
    <row r="129" spans="1:24" x14ac:dyDescent="0.3">
      <c r="A129">
        <v>121</v>
      </c>
      <c r="B129" t="s">
        <v>94</v>
      </c>
      <c r="C129" t="s">
        <v>32</v>
      </c>
      <c r="D129" t="s">
        <v>33</v>
      </c>
      <c r="E129" t="s">
        <v>201</v>
      </c>
      <c r="F129">
        <v>26</v>
      </c>
      <c r="G129" t="s">
        <v>134</v>
      </c>
      <c r="H129" s="1">
        <v>43979</v>
      </c>
      <c r="I129" s="1"/>
      <c r="J129" t="s">
        <v>131</v>
      </c>
      <c r="K129">
        <v>2020</v>
      </c>
      <c r="L129">
        <v>2158</v>
      </c>
      <c r="M129">
        <v>72</v>
      </c>
      <c r="N129">
        <v>10</v>
      </c>
      <c r="O129">
        <v>5213</v>
      </c>
      <c r="P129" t="s">
        <v>129</v>
      </c>
      <c r="Q129">
        <v>3.63</v>
      </c>
      <c r="R129" t="s">
        <v>133</v>
      </c>
      <c r="S129">
        <v>4</v>
      </c>
      <c r="T129">
        <v>1</v>
      </c>
      <c r="U129">
        <v>42</v>
      </c>
      <c r="V129">
        <v>22</v>
      </c>
      <c r="W129">
        <v>1553</v>
      </c>
      <c r="X129">
        <v>71</v>
      </c>
    </row>
    <row r="130" spans="1:24" x14ac:dyDescent="0.3">
      <c r="A130">
        <v>177</v>
      </c>
      <c r="B130" t="s">
        <v>94</v>
      </c>
      <c r="C130" t="s">
        <v>23</v>
      </c>
      <c r="D130" t="s">
        <v>30</v>
      </c>
      <c r="E130" t="s">
        <v>201</v>
      </c>
      <c r="F130">
        <v>30</v>
      </c>
      <c r="G130" t="s">
        <v>130</v>
      </c>
      <c r="H130" s="1">
        <v>44881</v>
      </c>
      <c r="I130" s="1"/>
      <c r="J130" t="s">
        <v>131</v>
      </c>
      <c r="K130">
        <v>2022</v>
      </c>
      <c r="L130">
        <v>1247</v>
      </c>
      <c r="M130">
        <v>42</v>
      </c>
      <c r="N130">
        <v>19</v>
      </c>
      <c r="O130">
        <v>8040</v>
      </c>
      <c r="P130" t="s">
        <v>132</v>
      </c>
      <c r="Q130">
        <v>4.3</v>
      </c>
      <c r="R130" t="s">
        <v>133</v>
      </c>
      <c r="S130">
        <v>4</v>
      </c>
      <c r="T130">
        <v>5</v>
      </c>
      <c r="U130">
        <v>12</v>
      </c>
      <c r="V130">
        <v>29</v>
      </c>
      <c r="W130">
        <v>319</v>
      </c>
      <c r="X130">
        <v>11</v>
      </c>
    </row>
    <row r="131" spans="1:24" x14ac:dyDescent="0.3">
      <c r="A131">
        <v>122</v>
      </c>
      <c r="B131" t="s">
        <v>95</v>
      </c>
      <c r="C131" t="s">
        <v>35</v>
      </c>
      <c r="D131" t="s">
        <v>39</v>
      </c>
      <c r="E131" t="s">
        <v>201</v>
      </c>
      <c r="F131">
        <v>38</v>
      </c>
      <c r="G131" t="s">
        <v>130</v>
      </c>
      <c r="H131" s="1">
        <v>45353</v>
      </c>
      <c r="I131" s="1"/>
      <c r="J131" t="s">
        <v>131</v>
      </c>
      <c r="K131">
        <v>2024</v>
      </c>
      <c r="L131">
        <v>787</v>
      </c>
      <c r="M131">
        <v>26</v>
      </c>
      <c r="N131">
        <v>7</v>
      </c>
      <c r="O131">
        <v>7673</v>
      </c>
      <c r="P131" t="s">
        <v>132</v>
      </c>
      <c r="Q131">
        <v>2.8</v>
      </c>
      <c r="R131" t="s">
        <v>129</v>
      </c>
      <c r="S131">
        <v>2</v>
      </c>
      <c r="T131">
        <v>2</v>
      </c>
      <c r="U131">
        <v>50</v>
      </c>
      <c r="V131">
        <v>31</v>
      </c>
      <c r="W131">
        <v>153</v>
      </c>
      <c r="X131">
        <v>5</v>
      </c>
    </row>
    <row r="132" spans="1:24" x14ac:dyDescent="0.3">
      <c r="A132">
        <v>200</v>
      </c>
      <c r="B132" t="s">
        <v>95</v>
      </c>
      <c r="C132" t="s">
        <v>17</v>
      </c>
      <c r="D132" t="s">
        <v>53</v>
      </c>
      <c r="E132" t="s">
        <v>201</v>
      </c>
      <c r="F132">
        <v>42</v>
      </c>
      <c r="G132" t="s">
        <v>126</v>
      </c>
      <c r="H132" s="1">
        <v>43641</v>
      </c>
      <c r="I132" s="1"/>
      <c r="J132" t="s">
        <v>131</v>
      </c>
      <c r="K132">
        <v>2019</v>
      </c>
      <c r="L132">
        <v>2505</v>
      </c>
      <c r="M132">
        <v>84</v>
      </c>
      <c r="N132">
        <v>1</v>
      </c>
      <c r="O132">
        <v>9905</v>
      </c>
      <c r="P132" t="s">
        <v>132</v>
      </c>
      <c r="Q132">
        <v>3.13</v>
      </c>
      <c r="R132" t="s">
        <v>129</v>
      </c>
      <c r="S132">
        <v>3</v>
      </c>
      <c r="T132">
        <v>2</v>
      </c>
      <c r="U132">
        <v>25</v>
      </c>
      <c r="V132">
        <v>40</v>
      </c>
      <c r="W132">
        <v>725</v>
      </c>
      <c r="X132">
        <v>18</v>
      </c>
    </row>
    <row r="133" spans="1:24" x14ac:dyDescent="0.3">
      <c r="A133">
        <v>131</v>
      </c>
      <c r="B133" t="s">
        <v>163</v>
      </c>
      <c r="C133" t="s">
        <v>35</v>
      </c>
      <c r="D133" t="s">
        <v>39</v>
      </c>
      <c r="E133" t="s">
        <v>202</v>
      </c>
      <c r="F133">
        <v>40</v>
      </c>
      <c r="G133" t="s">
        <v>130</v>
      </c>
      <c r="H133" s="1">
        <v>43469</v>
      </c>
      <c r="I133" s="1"/>
      <c r="J133" t="s">
        <v>131</v>
      </c>
      <c r="K133">
        <v>2019</v>
      </c>
      <c r="L133">
        <v>2659</v>
      </c>
      <c r="M133">
        <v>89</v>
      </c>
      <c r="N133">
        <v>19</v>
      </c>
      <c r="O133">
        <v>9781</v>
      </c>
      <c r="P133" t="s">
        <v>132</v>
      </c>
      <c r="Q133">
        <v>2.62</v>
      </c>
      <c r="R133" t="s">
        <v>129</v>
      </c>
      <c r="S133">
        <v>3</v>
      </c>
      <c r="T133">
        <v>4</v>
      </c>
      <c r="U133">
        <v>56</v>
      </c>
      <c r="V133">
        <v>30</v>
      </c>
      <c r="W133">
        <v>685</v>
      </c>
      <c r="X133">
        <v>23</v>
      </c>
    </row>
    <row r="134" spans="1:24" x14ac:dyDescent="0.3">
      <c r="A134">
        <v>123</v>
      </c>
      <c r="B134" t="s">
        <v>96</v>
      </c>
      <c r="C134" t="s">
        <v>27</v>
      </c>
      <c r="D134" t="s">
        <v>49</v>
      </c>
      <c r="E134" t="s">
        <v>202</v>
      </c>
      <c r="F134">
        <v>24</v>
      </c>
      <c r="G134" t="s">
        <v>134</v>
      </c>
      <c r="H134" s="1">
        <v>45370</v>
      </c>
      <c r="I134" s="1"/>
      <c r="J134" t="s">
        <v>131</v>
      </c>
      <c r="K134">
        <v>2024</v>
      </c>
      <c r="L134">
        <v>764</v>
      </c>
      <c r="M134">
        <v>25</v>
      </c>
      <c r="N134">
        <v>13</v>
      </c>
      <c r="O134">
        <v>9067</v>
      </c>
      <c r="P134" t="s">
        <v>132</v>
      </c>
      <c r="Q134">
        <v>3.5</v>
      </c>
      <c r="R134" t="s">
        <v>129</v>
      </c>
      <c r="S134">
        <v>4</v>
      </c>
      <c r="T134">
        <v>5</v>
      </c>
      <c r="U134">
        <v>49</v>
      </c>
      <c r="V134">
        <v>26</v>
      </c>
      <c r="W134">
        <v>1786</v>
      </c>
      <c r="X134">
        <v>69</v>
      </c>
    </row>
    <row r="135" spans="1:24" x14ac:dyDescent="0.3">
      <c r="A135">
        <v>133</v>
      </c>
      <c r="B135" t="s">
        <v>96</v>
      </c>
      <c r="C135" t="s">
        <v>20</v>
      </c>
      <c r="D135" t="s">
        <v>46</v>
      </c>
      <c r="E135" t="s">
        <v>202</v>
      </c>
      <c r="F135">
        <v>26</v>
      </c>
      <c r="G135" t="s">
        <v>134</v>
      </c>
      <c r="H135" s="1">
        <v>44283</v>
      </c>
      <c r="I135" s="1">
        <v>45345</v>
      </c>
      <c r="J135" t="s">
        <v>127</v>
      </c>
      <c r="K135">
        <v>2021</v>
      </c>
      <c r="L135">
        <v>1051</v>
      </c>
      <c r="M135">
        <v>35</v>
      </c>
      <c r="N135">
        <v>11</v>
      </c>
      <c r="O135">
        <v>5584</v>
      </c>
      <c r="P135" t="s">
        <v>129</v>
      </c>
      <c r="Q135">
        <v>3.48</v>
      </c>
      <c r="R135" t="s">
        <v>129</v>
      </c>
      <c r="S135">
        <v>3</v>
      </c>
      <c r="T135">
        <v>5</v>
      </c>
      <c r="U135">
        <v>48</v>
      </c>
      <c r="V135">
        <v>9</v>
      </c>
      <c r="W135">
        <v>507</v>
      </c>
      <c r="X135">
        <v>56</v>
      </c>
    </row>
    <row r="136" spans="1:24" x14ac:dyDescent="0.3">
      <c r="A136">
        <v>139</v>
      </c>
      <c r="B136" t="s">
        <v>96</v>
      </c>
      <c r="C136" t="s">
        <v>32</v>
      </c>
      <c r="D136" t="s">
        <v>42</v>
      </c>
      <c r="E136" t="s">
        <v>202</v>
      </c>
      <c r="F136">
        <v>43</v>
      </c>
      <c r="G136" t="s">
        <v>126</v>
      </c>
      <c r="H136" s="1">
        <v>44386</v>
      </c>
      <c r="I136" s="1"/>
      <c r="J136" t="s">
        <v>131</v>
      </c>
      <c r="K136">
        <v>2021</v>
      </c>
      <c r="L136">
        <v>1746</v>
      </c>
      <c r="M136">
        <v>58</v>
      </c>
      <c r="N136">
        <v>15</v>
      </c>
      <c r="O136">
        <v>14539</v>
      </c>
      <c r="P136" t="s">
        <v>128</v>
      </c>
      <c r="Q136">
        <v>4.51</v>
      </c>
      <c r="R136" t="s">
        <v>128</v>
      </c>
      <c r="S136">
        <v>3</v>
      </c>
      <c r="T136">
        <v>5</v>
      </c>
      <c r="U136">
        <v>12</v>
      </c>
      <c r="V136">
        <v>15</v>
      </c>
      <c r="W136">
        <v>671</v>
      </c>
      <c r="X136">
        <v>45</v>
      </c>
    </row>
    <row r="137" spans="1:24" x14ac:dyDescent="0.3">
      <c r="A137">
        <v>155</v>
      </c>
      <c r="B137" t="s">
        <v>96</v>
      </c>
      <c r="C137" t="s">
        <v>35</v>
      </c>
      <c r="D137" t="s">
        <v>44</v>
      </c>
      <c r="E137" t="s">
        <v>202</v>
      </c>
      <c r="F137">
        <v>48</v>
      </c>
      <c r="G137" t="s">
        <v>126</v>
      </c>
      <c r="H137" s="1">
        <v>43194</v>
      </c>
      <c r="I137" s="1"/>
      <c r="J137" t="s">
        <v>131</v>
      </c>
      <c r="K137">
        <v>2018</v>
      </c>
      <c r="L137">
        <v>2945</v>
      </c>
      <c r="M137">
        <v>98</v>
      </c>
      <c r="N137">
        <v>8</v>
      </c>
      <c r="O137">
        <v>7762</v>
      </c>
      <c r="P137" t="s">
        <v>132</v>
      </c>
      <c r="Q137">
        <v>3.12</v>
      </c>
      <c r="R137" t="s">
        <v>129</v>
      </c>
      <c r="S137">
        <v>3</v>
      </c>
      <c r="T137">
        <v>2</v>
      </c>
      <c r="U137">
        <v>12</v>
      </c>
      <c r="V137">
        <v>7</v>
      </c>
      <c r="W137">
        <v>165</v>
      </c>
      <c r="X137">
        <v>24</v>
      </c>
    </row>
    <row r="138" spans="1:24" x14ac:dyDescent="0.3">
      <c r="A138">
        <v>160</v>
      </c>
      <c r="B138" t="s">
        <v>40</v>
      </c>
      <c r="C138" t="s">
        <v>23</v>
      </c>
      <c r="D138" t="s">
        <v>24</v>
      </c>
      <c r="E138" t="s">
        <v>202</v>
      </c>
      <c r="F138">
        <v>24</v>
      </c>
      <c r="G138" t="s">
        <v>134</v>
      </c>
      <c r="H138" s="1">
        <v>44691</v>
      </c>
      <c r="I138" s="1">
        <v>45137</v>
      </c>
      <c r="J138" t="s">
        <v>127</v>
      </c>
      <c r="K138">
        <v>2022</v>
      </c>
      <c r="L138">
        <v>438</v>
      </c>
      <c r="M138">
        <v>15</v>
      </c>
      <c r="N138">
        <v>8</v>
      </c>
      <c r="O138">
        <v>12775</v>
      </c>
      <c r="P138" t="s">
        <v>128</v>
      </c>
      <c r="Q138">
        <v>4.3099999999999996</v>
      </c>
      <c r="R138" t="s">
        <v>133</v>
      </c>
      <c r="S138">
        <v>2</v>
      </c>
      <c r="T138">
        <v>1</v>
      </c>
      <c r="U138">
        <v>24</v>
      </c>
      <c r="V138">
        <v>38</v>
      </c>
      <c r="W138">
        <v>1334</v>
      </c>
      <c r="X138">
        <v>35</v>
      </c>
    </row>
    <row r="139" spans="1:24" x14ac:dyDescent="0.3">
      <c r="A139">
        <v>124</v>
      </c>
      <c r="B139" t="s">
        <v>97</v>
      </c>
      <c r="C139" t="s">
        <v>20</v>
      </c>
      <c r="D139" t="s">
        <v>46</v>
      </c>
      <c r="E139" t="s">
        <v>201</v>
      </c>
      <c r="F139">
        <v>26</v>
      </c>
      <c r="G139" t="s">
        <v>134</v>
      </c>
      <c r="H139" s="1">
        <v>43403</v>
      </c>
      <c r="I139" s="1">
        <v>44082</v>
      </c>
      <c r="J139" t="s">
        <v>127</v>
      </c>
      <c r="K139">
        <v>2018</v>
      </c>
      <c r="L139">
        <v>666</v>
      </c>
      <c r="M139">
        <v>22</v>
      </c>
      <c r="N139">
        <v>13</v>
      </c>
      <c r="O139">
        <v>13032</v>
      </c>
      <c r="P139" t="s">
        <v>128</v>
      </c>
      <c r="Q139">
        <v>4.0999999999999996</v>
      </c>
      <c r="R139" t="s">
        <v>133</v>
      </c>
      <c r="S139">
        <v>2</v>
      </c>
      <c r="T139">
        <v>2</v>
      </c>
      <c r="U139">
        <v>32</v>
      </c>
      <c r="V139">
        <v>3</v>
      </c>
      <c r="W139">
        <v>1802</v>
      </c>
      <c r="X139">
        <v>601</v>
      </c>
    </row>
    <row r="140" spans="1:24" x14ac:dyDescent="0.3">
      <c r="A140">
        <v>194</v>
      </c>
      <c r="B140" t="s">
        <v>97</v>
      </c>
      <c r="C140" t="s">
        <v>27</v>
      </c>
      <c r="D140" t="s">
        <v>49</v>
      </c>
      <c r="E140" t="s">
        <v>201</v>
      </c>
      <c r="F140">
        <v>28</v>
      </c>
      <c r="G140" t="s">
        <v>134</v>
      </c>
      <c r="H140" s="1">
        <v>44528</v>
      </c>
      <c r="I140" s="1"/>
      <c r="J140" t="s">
        <v>131</v>
      </c>
      <c r="K140">
        <v>2021</v>
      </c>
      <c r="L140">
        <v>1614</v>
      </c>
      <c r="M140">
        <v>54</v>
      </c>
      <c r="N140">
        <v>5</v>
      </c>
      <c r="O140">
        <v>13632</v>
      </c>
      <c r="P140" t="s">
        <v>128</v>
      </c>
      <c r="Q140">
        <v>4.22</v>
      </c>
      <c r="R140" t="s">
        <v>133</v>
      </c>
      <c r="S140">
        <v>5</v>
      </c>
      <c r="T140">
        <v>4</v>
      </c>
      <c r="U140">
        <v>39</v>
      </c>
      <c r="V140">
        <v>8</v>
      </c>
      <c r="W140">
        <v>1707</v>
      </c>
      <c r="X140">
        <v>213</v>
      </c>
    </row>
    <row r="141" spans="1:24" x14ac:dyDescent="0.3">
      <c r="A141">
        <v>125</v>
      </c>
      <c r="B141" t="s">
        <v>98</v>
      </c>
      <c r="C141" t="s">
        <v>35</v>
      </c>
      <c r="D141" t="s">
        <v>39</v>
      </c>
      <c r="E141" t="s">
        <v>201</v>
      </c>
      <c r="F141">
        <v>38</v>
      </c>
      <c r="G141" t="s">
        <v>130</v>
      </c>
      <c r="H141" s="1">
        <v>45223</v>
      </c>
      <c r="I141" s="1">
        <v>45590</v>
      </c>
      <c r="J141" t="s">
        <v>127</v>
      </c>
      <c r="K141">
        <v>2023</v>
      </c>
      <c r="L141">
        <v>347</v>
      </c>
      <c r="M141">
        <v>12</v>
      </c>
      <c r="N141">
        <v>20</v>
      </c>
      <c r="O141">
        <v>8653</v>
      </c>
      <c r="P141" t="s">
        <v>132</v>
      </c>
      <c r="Q141">
        <v>4.6100000000000003</v>
      </c>
      <c r="R141" t="s">
        <v>128</v>
      </c>
      <c r="S141">
        <v>3</v>
      </c>
      <c r="T141">
        <v>2</v>
      </c>
      <c r="U141">
        <v>35</v>
      </c>
      <c r="V141">
        <v>17</v>
      </c>
      <c r="W141">
        <v>356</v>
      </c>
      <c r="X141">
        <v>21</v>
      </c>
    </row>
    <row r="142" spans="1:24" x14ac:dyDescent="0.3">
      <c r="A142">
        <v>126</v>
      </c>
      <c r="B142" t="s">
        <v>188</v>
      </c>
      <c r="C142" t="s">
        <v>17</v>
      </c>
      <c r="D142" t="s">
        <v>18</v>
      </c>
      <c r="E142" t="s">
        <v>201</v>
      </c>
      <c r="F142">
        <v>27</v>
      </c>
      <c r="G142" t="s">
        <v>134</v>
      </c>
      <c r="H142" s="1">
        <v>44341</v>
      </c>
      <c r="I142" s="1"/>
      <c r="J142" t="s">
        <v>131</v>
      </c>
      <c r="K142">
        <v>2021</v>
      </c>
      <c r="L142">
        <v>1788</v>
      </c>
      <c r="M142">
        <v>60</v>
      </c>
      <c r="N142">
        <v>18</v>
      </c>
      <c r="O142">
        <v>14792</v>
      </c>
      <c r="P142" t="s">
        <v>128</v>
      </c>
      <c r="Q142">
        <v>4.0599999999999996</v>
      </c>
      <c r="R142" t="s">
        <v>133</v>
      </c>
      <c r="S142">
        <v>5</v>
      </c>
      <c r="T142">
        <v>3</v>
      </c>
      <c r="U142">
        <v>2</v>
      </c>
      <c r="V142">
        <v>1</v>
      </c>
      <c r="W142">
        <v>266</v>
      </c>
      <c r="X142">
        <v>266</v>
      </c>
    </row>
    <row r="143" spans="1:24" x14ac:dyDescent="0.3">
      <c r="A143">
        <v>153</v>
      </c>
      <c r="B143" t="s">
        <v>188</v>
      </c>
      <c r="C143" t="s">
        <v>35</v>
      </c>
      <c r="D143" t="s">
        <v>36</v>
      </c>
      <c r="E143" t="s">
        <v>201</v>
      </c>
      <c r="F143">
        <v>37</v>
      </c>
      <c r="G143" t="s">
        <v>130</v>
      </c>
      <c r="H143" s="1">
        <v>43286</v>
      </c>
      <c r="I143" s="1"/>
      <c r="J143" t="s">
        <v>131</v>
      </c>
      <c r="K143">
        <v>2018</v>
      </c>
      <c r="L143">
        <v>2841</v>
      </c>
      <c r="M143">
        <v>95</v>
      </c>
      <c r="N143">
        <v>20</v>
      </c>
      <c r="O143">
        <v>4519</v>
      </c>
      <c r="P143" t="s">
        <v>129</v>
      </c>
      <c r="Q143">
        <v>3.22</v>
      </c>
      <c r="R143" t="s">
        <v>129</v>
      </c>
      <c r="S143">
        <v>2</v>
      </c>
      <c r="T143">
        <v>2</v>
      </c>
      <c r="U143">
        <v>46</v>
      </c>
      <c r="V143">
        <v>26</v>
      </c>
      <c r="W143">
        <v>866</v>
      </c>
      <c r="X143">
        <v>33</v>
      </c>
    </row>
    <row r="144" spans="1:24" x14ac:dyDescent="0.3">
      <c r="A144">
        <v>172</v>
      </c>
      <c r="B144" t="s">
        <v>188</v>
      </c>
      <c r="C144" t="s">
        <v>17</v>
      </c>
      <c r="D144" t="s">
        <v>53</v>
      </c>
      <c r="E144" t="s">
        <v>201</v>
      </c>
      <c r="F144">
        <v>25</v>
      </c>
      <c r="G144" t="s">
        <v>134</v>
      </c>
      <c r="H144" s="1">
        <v>43674</v>
      </c>
      <c r="I144" s="1"/>
      <c r="J144" t="s">
        <v>131</v>
      </c>
      <c r="K144">
        <v>2019</v>
      </c>
      <c r="L144">
        <v>2454</v>
      </c>
      <c r="M144">
        <v>82</v>
      </c>
      <c r="N144">
        <v>19</v>
      </c>
      <c r="O144">
        <v>11161</v>
      </c>
      <c r="P144" t="s">
        <v>128</v>
      </c>
      <c r="Q144">
        <v>3.08</v>
      </c>
      <c r="R144" t="s">
        <v>129</v>
      </c>
      <c r="S144">
        <v>1</v>
      </c>
      <c r="T144">
        <v>3</v>
      </c>
      <c r="U144">
        <v>49</v>
      </c>
      <c r="V144">
        <v>39</v>
      </c>
      <c r="W144">
        <v>1319</v>
      </c>
      <c r="X144">
        <v>34</v>
      </c>
    </row>
    <row r="145" spans="1:24" x14ac:dyDescent="0.3">
      <c r="A145">
        <v>127</v>
      </c>
      <c r="B145" t="s">
        <v>177</v>
      </c>
      <c r="C145" t="s">
        <v>35</v>
      </c>
      <c r="D145" t="s">
        <v>44</v>
      </c>
      <c r="E145" t="s">
        <v>201</v>
      </c>
      <c r="F145">
        <v>37</v>
      </c>
      <c r="G145" t="s">
        <v>130</v>
      </c>
      <c r="H145" s="1">
        <v>45463</v>
      </c>
      <c r="I145" s="1"/>
      <c r="J145" t="s">
        <v>131</v>
      </c>
      <c r="K145">
        <v>2024</v>
      </c>
      <c r="L145">
        <v>677</v>
      </c>
      <c r="M145">
        <v>23</v>
      </c>
      <c r="N145">
        <v>7</v>
      </c>
      <c r="O145">
        <v>14275</v>
      </c>
      <c r="P145" t="s">
        <v>128</v>
      </c>
      <c r="Q145">
        <v>3.86</v>
      </c>
      <c r="R145" t="s">
        <v>133</v>
      </c>
      <c r="S145">
        <v>3</v>
      </c>
      <c r="T145">
        <v>4</v>
      </c>
      <c r="U145">
        <v>51</v>
      </c>
      <c r="V145">
        <v>25</v>
      </c>
      <c r="W145">
        <v>709</v>
      </c>
      <c r="X145">
        <v>28</v>
      </c>
    </row>
    <row r="146" spans="1:24" x14ac:dyDescent="0.3">
      <c r="A146">
        <v>159</v>
      </c>
      <c r="B146" t="s">
        <v>164</v>
      </c>
      <c r="C146" t="s">
        <v>23</v>
      </c>
      <c r="D146" t="s">
        <v>30</v>
      </c>
      <c r="E146" t="s">
        <v>202</v>
      </c>
      <c r="F146">
        <v>31</v>
      </c>
      <c r="G146" t="s">
        <v>130</v>
      </c>
      <c r="H146" s="1">
        <v>44329</v>
      </c>
      <c r="I146" s="1"/>
      <c r="J146" t="s">
        <v>131</v>
      </c>
      <c r="K146">
        <v>2021</v>
      </c>
      <c r="L146">
        <v>1805</v>
      </c>
      <c r="M146">
        <v>60</v>
      </c>
      <c r="N146">
        <v>13</v>
      </c>
      <c r="O146">
        <v>6365</v>
      </c>
      <c r="P146" t="s">
        <v>132</v>
      </c>
      <c r="Q146">
        <v>4.51</v>
      </c>
      <c r="R146" t="s">
        <v>128</v>
      </c>
      <c r="S146">
        <v>1</v>
      </c>
      <c r="T146">
        <v>5</v>
      </c>
      <c r="U146">
        <v>26</v>
      </c>
      <c r="V146">
        <v>35</v>
      </c>
      <c r="W146">
        <v>1185</v>
      </c>
      <c r="X146">
        <v>34</v>
      </c>
    </row>
    <row r="147" spans="1:24" x14ac:dyDescent="0.3">
      <c r="A147">
        <v>130</v>
      </c>
      <c r="B147" t="s">
        <v>82</v>
      </c>
      <c r="C147" t="s">
        <v>20</v>
      </c>
      <c r="D147" t="s">
        <v>46</v>
      </c>
      <c r="E147" t="s">
        <v>202</v>
      </c>
      <c r="F147">
        <v>46</v>
      </c>
      <c r="G147" t="s">
        <v>126</v>
      </c>
      <c r="H147" s="1">
        <v>44813</v>
      </c>
      <c r="I147" s="1">
        <v>45170</v>
      </c>
      <c r="J147" t="s">
        <v>127</v>
      </c>
      <c r="K147">
        <v>2022</v>
      </c>
      <c r="L147">
        <v>342</v>
      </c>
      <c r="M147">
        <v>11</v>
      </c>
      <c r="N147">
        <v>15</v>
      </c>
      <c r="O147">
        <v>6610</v>
      </c>
      <c r="P147" t="s">
        <v>132</v>
      </c>
      <c r="Q147">
        <v>3.75</v>
      </c>
      <c r="R147" t="s">
        <v>133</v>
      </c>
      <c r="S147">
        <v>5</v>
      </c>
      <c r="T147">
        <v>4</v>
      </c>
      <c r="U147">
        <v>56</v>
      </c>
      <c r="V147">
        <v>19</v>
      </c>
      <c r="W147">
        <v>1118</v>
      </c>
      <c r="X147">
        <v>59</v>
      </c>
    </row>
    <row r="148" spans="1:24" x14ac:dyDescent="0.3">
      <c r="A148">
        <v>178</v>
      </c>
      <c r="B148" t="s">
        <v>82</v>
      </c>
      <c r="C148" t="s">
        <v>23</v>
      </c>
      <c r="D148" t="s">
        <v>24</v>
      </c>
      <c r="E148" t="s">
        <v>202</v>
      </c>
      <c r="F148">
        <v>36</v>
      </c>
      <c r="G148" t="s">
        <v>130</v>
      </c>
      <c r="H148" s="1">
        <v>44348</v>
      </c>
      <c r="I148" s="1">
        <v>45188</v>
      </c>
      <c r="J148" t="s">
        <v>127</v>
      </c>
      <c r="K148">
        <v>2021</v>
      </c>
      <c r="L148">
        <v>831</v>
      </c>
      <c r="M148">
        <v>28</v>
      </c>
      <c r="N148">
        <v>9</v>
      </c>
      <c r="O148">
        <v>9484</v>
      </c>
      <c r="P148" t="s">
        <v>132</v>
      </c>
      <c r="Q148">
        <v>3.58</v>
      </c>
      <c r="R148" t="s">
        <v>133</v>
      </c>
      <c r="S148">
        <v>5</v>
      </c>
      <c r="T148">
        <v>2</v>
      </c>
      <c r="U148">
        <v>20</v>
      </c>
      <c r="V148">
        <v>38</v>
      </c>
      <c r="W148">
        <v>1523</v>
      </c>
      <c r="X148">
        <v>40</v>
      </c>
    </row>
    <row r="149" spans="1:24" x14ac:dyDescent="0.3">
      <c r="A149">
        <v>189</v>
      </c>
      <c r="B149" t="s">
        <v>48</v>
      </c>
      <c r="C149" t="s">
        <v>17</v>
      </c>
      <c r="D149" t="s">
        <v>18</v>
      </c>
      <c r="E149" t="s">
        <v>202</v>
      </c>
      <c r="F149">
        <v>25</v>
      </c>
      <c r="G149" t="s">
        <v>134</v>
      </c>
      <c r="H149" s="1">
        <v>44319</v>
      </c>
      <c r="I149" s="1"/>
      <c r="J149" t="s">
        <v>131</v>
      </c>
      <c r="K149">
        <v>2021</v>
      </c>
      <c r="L149">
        <v>1824</v>
      </c>
      <c r="M149">
        <v>61</v>
      </c>
      <c r="N149">
        <v>4</v>
      </c>
      <c r="O149">
        <v>7908</v>
      </c>
      <c r="P149" t="s">
        <v>132</v>
      </c>
      <c r="Q149">
        <v>3.26</v>
      </c>
      <c r="R149" t="s">
        <v>129</v>
      </c>
      <c r="S149">
        <v>2</v>
      </c>
      <c r="T149">
        <v>3</v>
      </c>
      <c r="U149">
        <v>32</v>
      </c>
      <c r="V149">
        <v>24</v>
      </c>
      <c r="W149">
        <v>956</v>
      </c>
      <c r="X149">
        <v>40</v>
      </c>
    </row>
    <row r="150" spans="1:24" x14ac:dyDescent="0.3">
      <c r="A150">
        <v>132</v>
      </c>
      <c r="B150" t="s">
        <v>99</v>
      </c>
      <c r="C150" t="s">
        <v>20</v>
      </c>
      <c r="D150" t="s">
        <v>46</v>
      </c>
      <c r="E150" t="s">
        <v>202</v>
      </c>
      <c r="F150">
        <v>46</v>
      </c>
      <c r="G150" t="s">
        <v>126</v>
      </c>
      <c r="H150" s="1">
        <v>43134</v>
      </c>
      <c r="I150" s="1"/>
      <c r="J150" t="s">
        <v>131</v>
      </c>
      <c r="K150">
        <v>2018</v>
      </c>
      <c r="L150">
        <v>2995</v>
      </c>
      <c r="M150">
        <v>100</v>
      </c>
      <c r="N150">
        <v>18</v>
      </c>
      <c r="O150">
        <v>10606</v>
      </c>
      <c r="P150" t="s">
        <v>128</v>
      </c>
      <c r="Q150">
        <v>3.41</v>
      </c>
      <c r="R150" t="s">
        <v>129</v>
      </c>
      <c r="S150">
        <v>4</v>
      </c>
      <c r="T150">
        <v>1</v>
      </c>
      <c r="U150">
        <v>35</v>
      </c>
      <c r="V150">
        <v>12</v>
      </c>
      <c r="W150">
        <v>842</v>
      </c>
      <c r="X150">
        <v>70</v>
      </c>
    </row>
    <row r="151" spans="1:24" x14ac:dyDescent="0.3">
      <c r="A151">
        <v>190</v>
      </c>
      <c r="B151" t="s">
        <v>99</v>
      </c>
      <c r="C151" t="s">
        <v>20</v>
      </c>
      <c r="D151" t="s">
        <v>46</v>
      </c>
      <c r="E151" t="s">
        <v>202</v>
      </c>
      <c r="F151">
        <v>39</v>
      </c>
      <c r="G151" t="s">
        <v>130</v>
      </c>
      <c r="H151" s="1">
        <v>43665</v>
      </c>
      <c r="I151" s="1"/>
      <c r="J151" t="s">
        <v>131</v>
      </c>
      <c r="K151">
        <v>2019</v>
      </c>
      <c r="L151">
        <v>2472</v>
      </c>
      <c r="M151">
        <v>82</v>
      </c>
      <c r="N151">
        <v>10</v>
      </c>
      <c r="O151">
        <v>6733</v>
      </c>
      <c r="P151" t="s">
        <v>132</v>
      </c>
      <c r="Q151">
        <v>3.72</v>
      </c>
      <c r="R151" t="s">
        <v>133</v>
      </c>
      <c r="S151">
        <v>2</v>
      </c>
      <c r="T151">
        <v>2</v>
      </c>
      <c r="U151">
        <v>53</v>
      </c>
      <c r="V151">
        <v>28</v>
      </c>
      <c r="W151">
        <v>1368</v>
      </c>
      <c r="X151">
        <v>49</v>
      </c>
    </row>
    <row r="152" spans="1:24" x14ac:dyDescent="0.3">
      <c r="A152">
        <v>134</v>
      </c>
      <c r="B152" t="s">
        <v>52</v>
      </c>
      <c r="C152" t="s">
        <v>20</v>
      </c>
      <c r="D152" t="s">
        <v>21</v>
      </c>
      <c r="E152" t="s">
        <v>201</v>
      </c>
      <c r="F152">
        <v>44</v>
      </c>
      <c r="G152" t="s">
        <v>126</v>
      </c>
      <c r="H152" s="1">
        <v>45186</v>
      </c>
      <c r="I152" s="1"/>
      <c r="J152" t="s">
        <v>131</v>
      </c>
      <c r="K152">
        <v>2023</v>
      </c>
      <c r="L152">
        <v>957</v>
      </c>
      <c r="M152">
        <v>32</v>
      </c>
      <c r="N152">
        <v>4</v>
      </c>
      <c r="O152">
        <v>9456</v>
      </c>
      <c r="P152" t="s">
        <v>132</v>
      </c>
      <c r="Q152">
        <v>4.51</v>
      </c>
      <c r="R152" t="s">
        <v>128</v>
      </c>
      <c r="S152">
        <v>5</v>
      </c>
      <c r="T152">
        <v>4</v>
      </c>
      <c r="U152">
        <v>38</v>
      </c>
      <c r="V152">
        <v>32</v>
      </c>
      <c r="W152">
        <v>386</v>
      </c>
      <c r="X152">
        <v>12</v>
      </c>
    </row>
    <row r="153" spans="1:24" x14ac:dyDescent="0.3">
      <c r="A153">
        <v>199</v>
      </c>
      <c r="B153" t="s">
        <v>52</v>
      </c>
      <c r="C153" t="s">
        <v>20</v>
      </c>
      <c r="D153" t="s">
        <v>21</v>
      </c>
      <c r="E153" t="s">
        <v>201</v>
      </c>
      <c r="F153">
        <v>22</v>
      </c>
      <c r="G153" t="s">
        <v>134</v>
      </c>
      <c r="H153" s="1">
        <v>45088</v>
      </c>
      <c r="I153" s="1"/>
      <c r="J153" t="s">
        <v>131</v>
      </c>
      <c r="K153">
        <v>2023</v>
      </c>
      <c r="L153">
        <v>1045</v>
      </c>
      <c r="M153">
        <v>35</v>
      </c>
      <c r="N153">
        <v>14</v>
      </c>
      <c r="O153">
        <v>6035</v>
      </c>
      <c r="P153" t="s">
        <v>132</v>
      </c>
      <c r="Q153">
        <v>4.82</v>
      </c>
      <c r="R153" t="s">
        <v>128</v>
      </c>
      <c r="S153">
        <v>2</v>
      </c>
      <c r="T153">
        <v>4</v>
      </c>
      <c r="U153">
        <v>0</v>
      </c>
      <c r="V153">
        <v>27</v>
      </c>
      <c r="W153">
        <v>514</v>
      </c>
      <c r="X153">
        <v>19</v>
      </c>
    </row>
    <row r="154" spans="1:24" x14ac:dyDescent="0.3">
      <c r="A154">
        <v>135</v>
      </c>
      <c r="B154" t="s">
        <v>100</v>
      </c>
      <c r="C154" t="s">
        <v>27</v>
      </c>
      <c r="D154" t="s">
        <v>28</v>
      </c>
      <c r="E154" t="s">
        <v>202</v>
      </c>
      <c r="F154">
        <v>38</v>
      </c>
      <c r="G154" t="s">
        <v>130</v>
      </c>
      <c r="H154" s="1">
        <v>45612</v>
      </c>
      <c r="I154" s="1"/>
      <c r="J154" t="s">
        <v>131</v>
      </c>
      <c r="K154">
        <v>2024</v>
      </c>
      <c r="L154">
        <v>520</v>
      </c>
      <c r="M154">
        <v>17</v>
      </c>
      <c r="N154">
        <v>15</v>
      </c>
      <c r="O154">
        <v>12351</v>
      </c>
      <c r="P154" t="s">
        <v>128</v>
      </c>
      <c r="Q154">
        <v>3.83</v>
      </c>
      <c r="R154" t="s">
        <v>133</v>
      </c>
      <c r="S154">
        <v>5</v>
      </c>
      <c r="T154">
        <v>3</v>
      </c>
      <c r="U154">
        <v>52</v>
      </c>
      <c r="V154">
        <v>1</v>
      </c>
      <c r="W154">
        <v>854</v>
      </c>
      <c r="X154">
        <v>854</v>
      </c>
    </row>
    <row r="155" spans="1:24" x14ac:dyDescent="0.3">
      <c r="A155">
        <v>164</v>
      </c>
      <c r="B155" t="s">
        <v>57</v>
      </c>
      <c r="C155" t="s">
        <v>20</v>
      </c>
      <c r="D155" t="s">
        <v>21</v>
      </c>
      <c r="E155" t="s">
        <v>201</v>
      </c>
      <c r="F155">
        <v>40</v>
      </c>
      <c r="G155" t="s">
        <v>130</v>
      </c>
      <c r="H155" s="1">
        <v>44811</v>
      </c>
      <c r="I155" s="1"/>
      <c r="J155" t="s">
        <v>131</v>
      </c>
      <c r="K155">
        <v>2022</v>
      </c>
      <c r="L155">
        <v>1321</v>
      </c>
      <c r="M155">
        <v>44</v>
      </c>
      <c r="N155">
        <v>15</v>
      </c>
      <c r="O155">
        <v>8026</v>
      </c>
      <c r="P155" t="s">
        <v>132</v>
      </c>
      <c r="Q155">
        <v>3.75</v>
      </c>
      <c r="R155" t="s">
        <v>133</v>
      </c>
      <c r="S155">
        <v>3</v>
      </c>
      <c r="T155">
        <v>3</v>
      </c>
      <c r="U155">
        <v>46</v>
      </c>
      <c r="V155">
        <v>31</v>
      </c>
      <c r="W155">
        <v>1043</v>
      </c>
      <c r="X155">
        <v>34</v>
      </c>
    </row>
    <row r="156" spans="1:24" x14ac:dyDescent="0.3">
      <c r="A156">
        <v>162</v>
      </c>
      <c r="B156" t="s">
        <v>58</v>
      </c>
      <c r="C156" t="s">
        <v>32</v>
      </c>
      <c r="D156" t="s">
        <v>33</v>
      </c>
      <c r="E156" t="s">
        <v>201</v>
      </c>
      <c r="F156">
        <v>46</v>
      </c>
      <c r="G156" t="s">
        <v>126</v>
      </c>
      <c r="H156" s="1">
        <v>44094</v>
      </c>
      <c r="I156" s="1"/>
      <c r="J156" t="s">
        <v>131</v>
      </c>
      <c r="K156">
        <v>2020</v>
      </c>
      <c r="L156">
        <v>2044</v>
      </c>
      <c r="M156">
        <v>68</v>
      </c>
      <c r="N156">
        <v>9</v>
      </c>
      <c r="O156">
        <v>8637</v>
      </c>
      <c r="P156" t="s">
        <v>132</v>
      </c>
      <c r="Q156">
        <v>3.45</v>
      </c>
      <c r="R156" t="s">
        <v>129</v>
      </c>
      <c r="S156">
        <v>5</v>
      </c>
      <c r="T156">
        <v>3</v>
      </c>
      <c r="U156">
        <v>16</v>
      </c>
      <c r="V156">
        <v>23</v>
      </c>
      <c r="W156">
        <v>1150</v>
      </c>
      <c r="X156">
        <v>50</v>
      </c>
    </row>
    <row r="157" spans="1:24" x14ac:dyDescent="0.3">
      <c r="A157">
        <v>173</v>
      </c>
      <c r="B157" t="s">
        <v>59</v>
      </c>
      <c r="C157" t="s">
        <v>32</v>
      </c>
      <c r="D157" t="s">
        <v>33</v>
      </c>
      <c r="E157" t="s">
        <v>202</v>
      </c>
      <c r="F157">
        <v>39</v>
      </c>
      <c r="G157" t="s">
        <v>130</v>
      </c>
      <c r="H157" s="1">
        <v>44437</v>
      </c>
      <c r="I157" s="1">
        <v>45026</v>
      </c>
      <c r="J157" t="s">
        <v>127</v>
      </c>
      <c r="K157">
        <v>2021</v>
      </c>
      <c r="L157">
        <v>587</v>
      </c>
      <c r="M157">
        <v>20</v>
      </c>
      <c r="N157">
        <v>2</v>
      </c>
      <c r="O157">
        <v>10150</v>
      </c>
      <c r="P157" t="s">
        <v>128</v>
      </c>
      <c r="Q157">
        <v>3.58</v>
      </c>
      <c r="R157" t="s">
        <v>133</v>
      </c>
      <c r="S157">
        <v>5</v>
      </c>
      <c r="T157">
        <v>4</v>
      </c>
      <c r="U157">
        <v>49</v>
      </c>
      <c r="V157">
        <v>39</v>
      </c>
      <c r="W157">
        <v>704</v>
      </c>
      <c r="X157">
        <v>18</v>
      </c>
    </row>
    <row r="158" spans="1:24" x14ac:dyDescent="0.3">
      <c r="A158">
        <v>192</v>
      </c>
      <c r="B158" t="s">
        <v>60</v>
      </c>
      <c r="C158" t="s">
        <v>23</v>
      </c>
      <c r="D158" t="s">
        <v>30</v>
      </c>
      <c r="E158" t="s">
        <v>201</v>
      </c>
      <c r="F158">
        <v>29</v>
      </c>
      <c r="G158" t="s">
        <v>134</v>
      </c>
      <c r="H158" s="1">
        <v>43439</v>
      </c>
      <c r="I158" s="1"/>
      <c r="J158" t="s">
        <v>131</v>
      </c>
      <c r="K158">
        <v>2018</v>
      </c>
      <c r="L158">
        <v>2693</v>
      </c>
      <c r="M158">
        <v>90</v>
      </c>
      <c r="N158">
        <v>15</v>
      </c>
      <c r="O158">
        <v>12808</v>
      </c>
      <c r="P158" t="s">
        <v>128</v>
      </c>
      <c r="Q158">
        <v>3.22</v>
      </c>
      <c r="R158" t="s">
        <v>129</v>
      </c>
      <c r="S158">
        <v>4</v>
      </c>
      <c r="T158">
        <v>5</v>
      </c>
      <c r="U158">
        <v>35</v>
      </c>
      <c r="V158">
        <v>32</v>
      </c>
      <c r="W158">
        <v>331</v>
      </c>
      <c r="X158">
        <v>10</v>
      </c>
    </row>
    <row r="159" spans="1:24" x14ac:dyDescent="0.3">
      <c r="A159">
        <v>174</v>
      </c>
      <c r="B159" t="s">
        <v>61</v>
      </c>
      <c r="C159" t="s">
        <v>23</v>
      </c>
      <c r="D159" t="s">
        <v>71</v>
      </c>
      <c r="E159" t="s">
        <v>201</v>
      </c>
      <c r="F159">
        <v>32</v>
      </c>
      <c r="G159" t="s">
        <v>130</v>
      </c>
      <c r="H159" s="1">
        <v>43402</v>
      </c>
      <c r="I159" s="1">
        <v>43747</v>
      </c>
      <c r="J159" t="s">
        <v>127</v>
      </c>
      <c r="K159">
        <v>2018</v>
      </c>
      <c r="L159">
        <v>331</v>
      </c>
      <c r="M159">
        <v>11</v>
      </c>
      <c r="N159">
        <v>14</v>
      </c>
      <c r="O159">
        <v>9909</v>
      </c>
      <c r="P159" t="s">
        <v>132</v>
      </c>
      <c r="Q159">
        <v>2.77</v>
      </c>
      <c r="R159" t="s">
        <v>129</v>
      </c>
      <c r="S159">
        <v>1</v>
      </c>
      <c r="T159">
        <v>3</v>
      </c>
      <c r="U159">
        <v>23</v>
      </c>
      <c r="V159">
        <v>17</v>
      </c>
      <c r="W159">
        <v>309</v>
      </c>
      <c r="X159">
        <v>18</v>
      </c>
    </row>
    <row r="160" spans="1:24" x14ac:dyDescent="0.3">
      <c r="A160">
        <v>143</v>
      </c>
      <c r="B160" t="s">
        <v>169</v>
      </c>
      <c r="C160" t="s">
        <v>32</v>
      </c>
      <c r="D160" t="s">
        <v>33</v>
      </c>
      <c r="E160" t="s">
        <v>201</v>
      </c>
      <c r="F160">
        <v>35</v>
      </c>
      <c r="G160" t="s">
        <v>130</v>
      </c>
      <c r="H160" s="1">
        <v>44453</v>
      </c>
      <c r="I160" s="1"/>
      <c r="J160" t="s">
        <v>131</v>
      </c>
      <c r="K160">
        <v>2021</v>
      </c>
      <c r="L160">
        <v>1674</v>
      </c>
      <c r="M160">
        <v>56</v>
      </c>
      <c r="N160">
        <v>20</v>
      </c>
      <c r="O160">
        <v>14696</v>
      </c>
      <c r="P160" t="s">
        <v>128</v>
      </c>
      <c r="Q160">
        <v>4.84</v>
      </c>
      <c r="R160" t="s">
        <v>128</v>
      </c>
      <c r="S160">
        <v>4</v>
      </c>
      <c r="T160">
        <v>4</v>
      </c>
      <c r="U160">
        <v>12</v>
      </c>
      <c r="V160">
        <v>18</v>
      </c>
      <c r="W160">
        <v>757</v>
      </c>
      <c r="X160">
        <v>42</v>
      </c>
    </row>
    <row r="161" spans="1:24" x14ac:dyDescent="0.3">
      <c r="A161">
        <v>145</v>
      </c>
      <c r="B161" t="s">
        <v>70</v>
      </c>
      <c r="C161" t="s">
        <v>17</v>
      </c>
      <c r="D161" t="s">
        <v>18</v>
      </c>
      <c r="E161" t="s">
        <v>201</v>
      </c>
      <c r="F161">
        <v>31</v>
      </c>
      <c r="G161" t="s">
        <v>130</v>
      </c>
      <c r="H161" s="1">
        <v>44286</v>
      </c>
      <c r="I161" s="1"/>
      <c r="J161" t="s">
        <v>131</v>
      </c>
      <c r="K161">
        <v>2021</v>
      </c>
      <c r="L161">
        <v>1846</v>
      </c>
      <c r="M161">
        <v>62</v>
      </c>
      <c r="N161">
        <v>15</v>
      </c>
      <c r="O161">
        <v>11444</v>
      </c>
      <c r="P161" t="s">
        <v>128</v>
      </c>
      <c r="Q161">
        <v>4.97</v>
      </c>
      <c r="R161" t="s">
        <v>128</v>
      </c>
      <c r="S161">
        <v>5</v>
      </c>
      <c r="T161">
        <v>5</v>
      </c>
      <c r="U161">
        <v>56</v>
      </c>
      <c r="V161">
        <v>8</v>
      </c>
      <c r="W161">
        <v>1842</v>
      </c>
      <c r="X161">
        <v>230</v>
      </c>
    </row>
    <row r="162" spans="1:24" x14ac:dyDescent="0.3">
      <c r="A162">
        <v>193</v>
      </c>
      <c r="B162" t="s">
        <v>66</v>
      </c>
      <c r="C162" t="s">
        <v>20</v>
      </c>
      <c r="D162" t="s">
        <v>21</v>
      </c>
      <c r="E162" t="s">
        <v>202</v>
      </c>
      <c r="F162">
        <v>39</v>
      </c>
      <c r="G162" t="s">
        <v>130</v>
      </c>
      <c r="H162" s="1">
        <v>43568</v>
      </c>
      <c r="I162" s="1"/>
      <c r="J162" t="s">
        <v>131</v>
      </c>
      <c r="K162">
        <v>2019</v>
      </c>
      <c r="L162">
        <v>2570</v>
      </c>
      <c r="M162">
        <v>86</v>
      </c>
      <c r="N162">
        <v>9</v>
      </c>
      <c r="O162">
        <v>7580</v>
      </c>
      <c r="P162" t="s">
        <v>132</v>
      </c>
      <c r="Q162">
        <v>4.97</v>
      </c>
      <c r="R162" t="s">
        <v>128</v>
      </c>
      <c r="S162">
        <v>1</v>
      </c>
      <c r="T162">
        <v>2</v>
      </c>
      <c r="U162">
        <v>55</v>
      </c>
      <c r="V162">
        <v>2</v>
      </c>
      <c r="W162">
        <v>1021</v>
      </c>
      <c r="X162">
        <v>510</v>
      </c>
    </row>
    <row r="163" spans="1:24" x14ac:dyDescent="0.3">
      <c r="A163">
        <v>187</v>
      </c>
      <c r="B163" t="s">
        <v>172</v>
      </c>
      <c r="C163" t="s">
        <v>20</v>
      </c>
      <c r="D163" t="s">
        <v>46</v>
      </c>
      <c r="E163" t="s">
        <v>201</v>
      </c>
      <c r="F163">
        <v>40</v>
      </c>
      <c r="G163" t="s">
        <v>130</v>
      </c>
      <c r="H163" s="1">
        <v>44860</v>
      </c>
      <c r="I163" s="1"/>
      <c r="J163" t="s">
        <v>131</v>
      </c>
      <c r="K163">
        <v>2022</v>
      </c>
      <c r="L163">
        <v>1276</v>
      </c>
      <c r="M163">
        <v>43</v>
      </c>
      <c r="N163">
        <v>11</v>
      </c>
      <c r="O163">
        <v>5667</v>
      </c>
      <c r="P163" t="s">
        <v>129</v>
      </c>
      <c r="Q163">
        <v>4.5</v>
      </c>
      <c r="R163" t="s">
        <v>128</v>
      </c>
      <c r="S163">
        <v>5</v>
      </c>
      <c r="T163">
        <v>2</v>
      </c>
      <c r="U163">
        <v>20</v>
      </c>
      <c r="V163">
        <v>12</v>
      </c>
      <c r="W163">
        <v>1037</v>
      </c>
      <c r="X163">
        <v>86</v>
      </c>
    </row>
    <row r="164" spans="1:24" x14ac:dyDescent="0.3">
      <c r="A164">
        <v>154</v>
      </c>
      <c r="B164" t="s">
        <v>80</v>
      </c>
      <c r="C164" t="s">
        <v>32</v>
      </c>
      <c r="D164" t="s">
        <v>33</v>
      </c>
      <c r="E164" t="s">
        <v>202</v>
      </c>
      <c r="F164">
        <v>42</v>
      </c>
      <c r="G164" t="s">
        <v>126</v>
      </c>
      <c r="H164" s="1">
        <v>44938</v>
      </c>
      <c r="I164" s="1"/>
      <c r="J164" t="s">
        <v>131</v>
      </c>
      <c r="K164">
        <v>2023</v>
      </c>
      <c r="L164">
        <v>1193</v>
      </c>
      <c r="M164">
        <v>40</v>
      </c>
      <c r="N164">
        <v>16</v>
      </c>
      <c r="O164">
        <v>9697</v>
      </c>
      <c r="P164" t="s">
        <v>132</v>
      </c>
      <c r="Q164">
        <v>2.8</v>
      </c>
      <c r="R164" t="s">
        <v>129</v>
      </c>
      <c r="S164">
        <v>5</v>
      </c>
      <c r="T164">
        <v>4</v>
      </c>
      <c r="U164">
        <v>8</v>
      </c>
      <c r="V164">
        <v>14</v>
      </c>
      <c r="W164">
        <v>1809</v>
      </c>
      <c r="X164">
        <v>129</v>
      </c>
    </row>
    <row r="165" spans="1:24" x14ac:dyDescent="0.3">
      <c r="A165">
        <v>183</v>
      </c>
      <c r="B165" t="s">
        <v>69</v>
      </c>
      <c r="C165" t="s">
        <v>35</v>
      </c>
      <c r="D165" t="s">
        <v>39</v>
      </c>
      <c r="E165" t="s">
        <v>202</v>
      </c>
      <c r="F165">
        <v>33</v>
      </c>
      <c r="G165" t="s">
        <v>130</v>
      </c>
      <c r="H165" s="1">
        <v>43504</v>
      </c>
      <c r="I165" s="1"/>
      <c r="J165" t="s">
        <v>131</v>
      </c>
      <c r="K165">
        <v>2019</v>
      </c>
      <c r="L165">
        <v>2639</v>
      </c>
      <c r="M165">
        <v>88</v>
      </c>
      <c r="N165">
        <v>4</v>
      </c>
      <c r="O165">
        <v>10408</v>
      </c>
      <c r="P165" t="s">
        <v>128</v>
      </c>
      <c r="Q165">
        <v>3.66</v>
      </c>
      <c r="R165" t="s">
        <v>133</v>
      </c>
      <c r="S165">
        <v>5</v>
      </c>
      <c r="T165">
        <v>5</v>
      </c>
      <c r="U165">
        <v>22</v>
      </c>
      <c r="V165">
        <v>1</v>
      </c>
      <c r="W165">
        <v>1088</v>
      </c>
      <c r="X165">
        <v>1088</v>
      </c>
    </row>
    <row r="166" spans="1:24" x14ac:dyDescent="0.3">
      <c r="A166">
        <v>165</v>
      </c>
      <c r="B166" t="s">
        <v>74</v>
      </c>
      <c r="C166" t="s">
        <v>23</v>
      </c>
      <c r="D166" t="s">
        <v>71</v>
      </c>
      <c r="E166" t="s">
        <v>202</v>
      </c>
      <c r="F166">
        <v>38</v>
      </c>
      <c r="G166" t="s">
        <v>130</v>
      </c>
      <c r="H166" s="1">
        <v>44543</v>
      </c>
      <c r="I166" s="1"/>
      <c r="J166" t="s">
        <v>131</v>
      </c>
      <c r="K166">
        <v>2021</v>
      </c>
      <c r="L166">
        <v>1604</v>
      </c>
      <c r="M166">
        <v>53</v>
      </c>
      <c r="N166">
        <v>0</v>
      </c>
      <c r="O166">
        <v>4554</v>
      </c>
      <c r="P166" t="s">
        <v>129</v>
      </c>
      <c r="Q166">
        <v>4.5999999999999996</v>
      </c>
      <c r="R166" t="s">
        <v>128</v>
      </c>
      <c r="S166">
        <v>1</v>
      </c>
      <c r="T166">
        <v>1</v>
      </c>
      <c r="U166">
        <v>26</v>
      </c>
      <c r="V166">
        <v>8</v>
      </c>
      <c r="W166">
        <v>1825</v>
      </c>
      <c r="X166">
        <v>228</v>
      </c>
    </row>
    <row r="167" spans="1:24" x14ac:dyDescent="0.3">
      <c r="A167">
        <v>191</v>
      </c>
      <c r="B167" t="s">
        <v>74</v>
      </c>
      <c r="C167" t="s">
        <v>35</v>
      </c>
      <c r="D167" t="s">
        <v>39</v>
      </c>
      <c r="E167" t="s">
        <v>202</v>
      </c>
      <c r="F167">
        <v>39</v>
      </c>
      <c r="G167" t="s">
        <v>130</v>
      </c>
      <c r="H167" s="1">
        <v>44571</v>
      </c>
      <c r="I167" s="1"/>
      <c r="J167" t="s">
        <v>131</v>
      </c>
      <c r="K167">
        <v>2022</v>
      </c>
      <c r="L167">
        <v>1563</v>
      </c>
      <c r="M167">
        <v>52</v>
      </c>
      <c r="N167">
        <v>13</v>
      </c>
      <c r="O167">
        <v>12281</v>
      </c>
      <c r="P167" t="s">
        <v>128</v>
      </c>
      <c r="Q167">
        <v>4.13</v>
      </c>
      <c r="R167" t="s">
        <v>133</v>
      </c>
      <c r="S167">
        <v>4</v>
      </c>
      <c r="T167">
        <v>4</v>
      </c>
      <c r="U167">
        <v>45</v>
      </c>
      <c r="V167">
        <v>28</v>
      </c>
      <c r="W167">
        <v>1100</v>
      </c>
      <c r="X167">
        <v>39</v>
      </c>
    </row>
    <row r="168" spans="1:24" x14ac:dyDescent="0.3">
      <c r="A168">
        <v>176</v>
      </c>
      <c r="B168" t="s">
        <v>76</v>
      </c>
      <c r="C168" t="s">
        <v>32</v>
      </c>
      <c r="D168" t="s">
        <v>33</v>
      </c>
      <c r="E168" t="s">
        <v>201</v>
      </c>
      <c r="F168">
        <v>43</v>
      </c>
      <c r="G168" t="s">
        <v>126</v>
      </c>
      <c r="H168" s="1">
        <v>43151</v>
      </c>
      <c r="I168" s="1"/>
      <c r="J168" t="s">
        <v>131</v>
      </c>
      <c r="K168">
        <v>2018</v>
      </c>
      <c r="L168">
        <v>2988</v>
      </c>
      <c r="M168">
        <v>100</v>
      </c>
      <c r="N168">
        <v>8</v>
      </c>
      <c r="O168">
        <v>10237</v>
      </c>
      <c r="P168" t="s">
        <v>128</v>
      </c>
      <c r="Q168">
        <v>2.92</v>
      </c>
      <c r="R168" t="s">
        <v>129</v>
      </c>
      <c r="S168">
        <v>3</v>
      </c>
      <c r="T168">
        <v>3</v>
      </c>
      <c r="U168">
        <v>31</v>
      </c>
      <c r="V168">
        <v>9</v>
      </c>
      <c r="W168">
        <v>229</v>
      </c>
      <c r="X168">
        <v>25</v>
      </c>
    </row>
    <row r="169" spans="1:24" x14ac:dyDescent="0.3">
      <c r="A169">
        <v>196</v>
      </c>
      <c r="B169" t="s">
        <v>81</v>
      </c>
      <c r="C169" t="s">
        <v>17</v>
      </c>
      <c r="D169" t="s">
        <v>18</v>
      </c>
      <c r="E169" t="s">
        <v>201</v>
      </c>
      <c r="F169">
        <v>29</v>
      </c>
      <c r="G169" t="s">
        <v>134</v>
      </c>
      <c r="H169" s="1">
        <v>43491</v>
      </c>
      <c r="I169" s="1">
        <v>44363</v>
      </c>
      <c r="J169" t="s">
        <v>127</v>
      </c>
      <c r="K169">
        <v>2019</v>
      </c>
      <c r="L169">
        <v>857</v>
      </c>
      <c r="M169">
        <v>29</v>
      </c>
      <c r="N169">
        <v>15</v>
      </c>
      <c r="O169">
        <v>6396</v>
      </c>
      <c r="P169" t="s">
        <v>132</v>
      </c>
      <c r="Q169">
        <v>4.28</v>
      </c>
      <c r="R169" t="s">
        <v>133</v>
      </c>
      <c r="S169">
        <v>2</v>
      </c>
      <c r="T169">
        <v>4</v>
      </c>
      <c r="U169">
        <v>9</v>
      </c>
      <c r="V169">
        <v>36</v>
      </c>
      <c r="W169">
        <v>1395</v>
      </c>
      <c r="X169">
        <v>39</v>
      </c>
    </row>
    <row r="170" spans="1:24" x14ac:dyDescent="0.3">
      <c r="A170">
        <v>136</v>
      </c>
      <c r="B170" t="s">
        <v>101</v>
      </c>
      <c r="C170" t="s">
        <v>27</v>
      </c>
      <c r="D170" t="s">
        <v>49</v>
      </c>
      <c r="E170" t="s">
        <v>202</v>
      </c>
      <c r="F170">
        <v>30</v>
      </c>
      <c r="G170" t="s">
        <v>130</v>
      </c>
      <c r="H170" s="1">
        <v>43549</v>
      </c>
      <c r="I170" s="1"/>
      <c r="J170" t="s">
        <v>131</v>
      </c>
      <c r="K170">
        <v>2019</v>
      </c>
      <c r="L170">
        <v>2591</v>
      </c>
      <c r="M170">
        <v>86</v>
      </c>
      <c r="N170">
        <v>7</v>
      </c>
      <c r="O170">
        <v>14741</v>
      </c>
      <c r="P170" t="s">
        <v>128</v>
      </c>
      <c r="Q170">
        <v>4.46</v>
      </c>
      <c r="R170" t="s">
        <v>133</v>
      </c>
      <c r="S170">
        <v>5</v>
      </c>
      <c r="T170">
        <v>5</v>
      </c>
      <c r="U170">
        <v>46</v>
      </c>
      <c r="V170">
        <v>3</v>
      </c>
      <c r="W170">
        <v>1295</v>
      </c>
      <c r="X170">
        <v>432</v>
      </c>
    </row>
    <row r="171" spans="1:24" x14ac:dyDescent="0.3">
      <c r="A171">
        <v>137</v>
      </c>
      <c r="B171" t="s">
        <v>189</v>
      </c>
      <c r="C171" t="s">
        <v>32</v>
      </c>
      <c r="D171" t="s">
        <v>33</v>
      </c>
      <c r="E171" t="s">
        <v>202</v>
      </c>
      <c r="F171">
        <v>23</v>
      </c>
      <c r="G171" t="s">
        <v>134</v>
      </c>
      <c r="H171" s="1">
        <v>43799</v>
      </c>
      <c r="I171" s="1"/>
      <c r="J171" t="s">
        <v>131</v>
      </c>
      <c r="K171">
        <v>2019</v>
      </c>
      <c r="L171">
        <v>2348</v>
      </c>
      <c r="M171">
        <v>78</v>
      </c>
      <c r="N171">
        <v>0</v>
      </c>
      <c r="O171">
        <v>13380</v>
      </c>
      <c r="P171" t="s">
        <v>128</v>
      </c>
      <c r="Q171">
        <v>4.87</v>
      </c>
      <c r="R171" t="s">
        <v>128</v>
      </c>
      <c r="S171">
        <v>1</v>
      </c>
      <c r="T171">
        <v>2</v>
      </c>
      <c r="U171">
        <v>28</v>
      </c>
      <c r="V171">
        <v>20</v>
      </c>
      <c r="W171">
        <v>957</v>
      </c>
      <c r="X171">
        <v>48</v>
      </c>
    </row>
    <row r="172" spans="1:24" x14ac:dyDescent="0.3">
      <c r="A172">
        <v>138</v>
      </c>
      <c r="B172" t="s">
        <v>102</v>
      </c>
      <c r="C172" t="s">
        <v>23</v>
      </c>
      <c r="D172" t="s">
        <v>71</v>
      </c>
      <c r="E172" t="s">
        <v>202</v>
      </c>
      <c r="F172">
        <v>49</v>
      </c>
      <c r="G172" t="s">
        <v>126</v>
      </c>
      <c r="H172" s="1">
        <v>44792</v>
      </c>
      <c r="I172" s="1"/>
      <c r="J172" t="s">
        <v>131</v>
      </c>
      <c r="K172">
        <v>2022</v>
      </c>
      <c r="L172">
        <v>1338</v>
      </c>
      <c r="M172">
        <v>45</v>
      </c>
      <c r="N172">
        <v>17</v>
      </c>
      <c r="O172">
        <v>5020</v>
      </c>
      <c r="P172" t="s">
        <v>129</v>
      </c>
      <c r="Q172">
        <v>4.26</v>
      </c>
      <c r="R172" t="s">
        <v>133</v>
      </c>
      <c r="S172">
        <v>5</v>
      </c>
      <c r="T172">
        <v>2</v>
      </c>
      <c r="U172">
        <v>20</v>
      </c>
      <c r="V172">
        <v>30</v>
      </c>
      <c r="W172">
        <v>1176</v>
      </c>
      <c r="X172">
        <v>39</v>
      </c>
    </row>
    <row r="173" spans="1:24" x14ac:dyDescent="0.3">
      <c r="A173">
        <v>140</v>
      </c>
      <c r="B173" t="s">
        <v>103</v>
      </c>
      <c r="C173" t="s">
        <v>20</v>
      </c>
      <c r="D173" t="s">
        <v>46</v>
      </c>
      <c r="E173" t="s">
        <v>201</v>
      </c>
      <c r="F173">
        <v>37</v>
      </c>
      <c r="G173" t="s">
        <v>130</v>
      </c>
      <c r="H173" s="1">
        <v>44323</v>
      </c>
      <c r="I173" s="1">
        <v>44962</v>
      </c>
      <c r="J173" t="s">
        <v>127</v>
      </c>
      <c r="K173">
        <v>2021</v>
      </c>
      <c r="L173">
        <v>636</v>
      </c>
      <c r="M173">
        <v>21</v>
      </c>
      <c r="N173">
        <v>3</v>
      </c>
      <c r="O173">
        <v>9714</v>
      </c>
      <c r="P173" t="s">
        <v>132</v>
      </c>
      <c r="Q173">
        <v>3.9</v>
      </c>
      <c r="R173" t="s">
        <v>133</v>
      </c>
      <c r="S173">
        <v>3</v>
      </c>
      <c r="T173">
        <v>3</v>
      </c>
      <c r="U173">
        <v>36</v>
      </c>
      <c r="V173">
        <v>34</v>
      </c>
      <c r="W173">
        <v>877</v>
      </c>
      <c r="X173">
        <v>26</v>
      </c>
    </row>
    <row r="174" spans="1:24" x14ac:dyDescent="0.3">
      <c r="A174">
        <v>141</v>
      </c>
      <c r="B174" t="s">
        <v>104</v>
      </c>
      <c r="C174" t="s">
        <v>32</v>
      </c>
      <c r="D174" t="s">
        <v>33</v>
      </c>
      <c r="E174" t="s">
        <v>201</v>
      </c>
      <c r="F174">
        <v>44</v>
      </c>
      <c r="G174" t="s">
        <v>126</v>
      </c>
      <c r="H174" s="1">
        <v>44514</v>
      </c>
      <c r="I174" s="1"/>
      <c r="J174" t="s">
        <v>131</v>
      </c>
      <c r="K174">
        <v>2021</v>
      </c>
      <c r="L174">
        <v>1618</v>
      </c>
      <c r="M174">
        <v>54</v>
      </c>
      <c r="N174">
        <v>15</v>
      </c>
      <c r="O174">
        <v>5294</v>
      </c>
      <c r="P174" t="s">
        <v>129</v>
      </c>
      <c r="Q174">
        <v>3.37</v>
      </c>
      <c r="R174" t="s">
        <v>129</v>
      </c>
      <c r="S174">
        <v>4</v>
      </c>
      <c r="T174">
        <v>3</v>
      </c>
      <c r="U174">
        <v>13</v>
      </c>
      <c r="V174">
        <v>12</v>
      </c>
      <c r="W174">
        <v>1795</v>
      </c>
      <c r="X174">
        <v>150</v>
      </c>
    </row>
    <row r="175" spans="1:24" x14ac:dyDescent="0.3">
      <c r="A175">
        <v>142</v>
      </c>
      <c r="B175" t="s">
        <v>190</v>
      </c>
      <c r="C175" t="s">
        <v>20</v>
      </c>
      <c r="D175" t="s">
        <v>21</v>
      </c>
      <c r="E175" t="s">
        <v>201</v>
      </c>
      <c r="F175">
        <v>29</v>
      </c>
      <c r="G175" t="s">
        <v>134</v>
      </c>
      <c r="H175" s="1">
        <v>44211</v>
      </c>
      <c r="I175" s="1"/>
      <c r="J175" t="s">
        <v>131</v>
      </c>
      <c r="K175">
        <v>2021</v>
      </c>
      <c r="L175">
        <v>1916</v>
      </c>
      <c r="M175">
        <v>64</v>
      </c>
      <c r="N175">
        <v>20</v>
      </c>
      <c r="O175">
        <v>4831</v>
      </c>
      <c r="P175" t="s">
        <v>129</v>
      </c>
      <c r="Q175">
        <v>4.17</v>
      </c>
      <c r="R175" t="s">
        <v>133</v>
      </c>
      <c r="S175">
        <v>5</v>
      </c>
      <c r="T175">
        <v>2</v>
      </c>
      <c r="U175">
        <v>14</v>
      </c>
      <c r="V175">
        <v>3</v>
      </c>
      <c r="W175">
        <v>305</v>
      </c>
      <c r="X175">
        <v>102</v>
      </c>
    </row>
    <row r="176" spans="1:24" x14ac:dyDescent="0.3">
      <c r="A176">
        <v>144</v>
      </c>
      <c r="B176" t="s">
        <v>191</v>
      </c>
      <c r="C176" t="s">
        <v>27</v>
      </c>
      <c r="D176" t="s">
        <v>49</v>
      </c>
      <c r="E176" t="s">
        <v>201</v>
      </c>
      <c r="F176">
        <v>27</v>
      </c>
      <c r="G176" t="s">
        <v>134</v>
      </c>
      <c r="H176" s="1">
        <v>43343</v>
      </c>
      <c r="I176" s="1"/>
      <c r="J176" t="s">
        <v>131</v>
      </c>
      <c r="K176">
        <v>2018</v>
      </c>
      <c r="L176">
        <v>2792</v>
      </c>
      <c r="M176">
        <v>93</v>
      </c>
      <c r="N176">
        <v>12</v>
      </c>
      <c r="O176">
        <v>10846</v>
      </c>
      <c r="P176" t="s">
        <v>128</v>
      </c>
      <c r="Q176">
        <v>4.71</v>
      </c>
      <c r="R176" t="s">
        <v>128</v>
      </c>
      <c r="S176">
        <v>2</v>
      </c>
      <c r="T176">
        <v>1</v>
      </c>
      <c r="U176">
        <v>50</v>
      </c>
      <c r="V176">
        <v>31</v>
      </c>
      <c r="W176">
        <v>481</v>
      </c>
      <c r="X176">
        <v>16</v>
      </c>
    </row>
    <row r="177" spans="1:24" x14ac:dyDescent="0.3">
      <c r="A177">
        <v>147</v>
      </c>
      <c r="B177" t="s">
        <v>105</v>
      </c>
      <c r="C177" t="s">
        <v>20</v>
      </c>
      <c r="D177" t="s">
        <v>21</v>
      </c>
      <c r="E177" t="s">
        <v>202</v>
      </c>
      <c r="F177">
        <v>43</v>
      </c>
      <c r="G177" t="s">
        <v>126</v>
      </c>
      <c r="H177" s="1">
        <v>44761</v>
      </c>
      <c r="I177" s="1"/>
      <c r="J177" t="s">
        <v>131</v>
      </c>
      <c r="K177">
        <v>2022</v>
      </c>
      <c r="L177">
        <v>1376</v>
      </c>
      <c r="M177">
        <v>46</v>
      </c>
      <c r="N177">
        <v>10</v>
      </c>
      <c r="O177">
        <v>5562</v>
      </c>
      <c r="P177" t="s">
        <v>129</v>
      </c>
      <c r="Q177">
        <v>2.96</v>
      </c>
      <c r="R177" t="s">
        <v>129</v>
      </c>
      <c r="S177">
        <v>2</v>
      </c>
      <c r="T177">
        <v>4</v>
      </c>
      <c r="U177">
        <v>59</v>
      </c>
      <c r="V177">
        <v>15</v>
      </c>
      <c r="W177">
        <v>113</v>
      </c>
      <c r="X177">
        <v>8</v>
      </c>
    </row>
    <row r="178" spans="1:24" x14ac:dyDescent="0.3">
      <c r="A178">
        <v>149</v>
      </c>
      <c r="B178" t="s">
        <v>106</v>
      </c>
      <c r="C178" t="s">
        <v>17</v>
      </c>
      <c r="D178" t="s">
        <v>53</v>
      </c>
      <c r="E178" t="s">
        <v>201</v>
      </c>
      <c r="F178">
        <v>41</v>
      </c>
      <c r="G178" t="s">
        <v>126</v>
      </c>
      <c r="H178" s="1">
        <v>45159</v>
      </c>
      <c r="I178" s="1"/>
      <c r="J178" t="s">
        <v>131</v>
      </c>
      <c r="K178">
        <v>2023</v>
      </c>
      <c r="L178">
        <v>984</v>
      </c>
      <c r="M178">
        <v>33</v>
      </c>
      <c r="N178">
        <v>4</v>
      </c>
      <c r="O178">
        <v>7618</v>
      </c>
      <c r="P178" t="s">
        <v>132</v>
      </c>
      <c r="Q178">
        <v>3.05</v>
      </c>
      <c r="R178" t="s">
        <v>129</v>
      </c>
      <c r="S178">
        <v>2</v>
      </c>
      <c r="T178">
        <v>4</v>
      </c>
      <c r="U178">
        <v>29</v>
      </c>
      <c r="V178">
        <v>38</v>
      </c>
      <c r="W178">
        <v>865</v>
      </c>
      <c r="X178">
        <v>23</v>
      </c>
    </row>
    <row r="179" spans="1:24" x14ac:dyDescent="0.3">
      <c r="A179">
        <v>150</v>
      </c>
      <c r="B179" t="s">
        <v>192</v>
      </c>
      <c r="C179" t="s">
        <v>32</v>
      </c>
      <c r="D179" t="s">
        <v>33</v>
      </c>
      <c r="E179" t="s">
        <v>202</v>
      </c>
      <c r="F179">
        <v>38</v>
      </c>
      <c r="G179" t="s">
        <v>130</v>
      </c>
      <c r="H179" s="1">
        <v>45350</v>
      </c>
      <c r="I179" s="1"/>
      <c r="J179" t="s">
        <v>131</v>
      </c>
      <c r="K179">
        <v>2024</v>
      </c>
      <c r="L179">
        <v>779</v>
      </c>
      <c r="M179">
        <v>26</v>
      </c>
      <c r="N179">
        <v>18</v>
      </c>
      <c r="O179">
        <v>11319</v>
      </c>
      <c r="P179" t="s">
        <v>128</v>
      </c>
      <c r="Q179">
        <v>3.82</v>
      </c>
      <c r="R179" t="s">
        <v>133</v>
      </c>
      <c r="S179">
        <v>3</v>
      </c>
      <c r="T179">
        <v>1</v>
      </c>
      <c r="U179">
        <v>7</v>
      </c>
      <c r="V179">
        <v>3</v>
      </c>
      <c r="W179">
        <v>1797</v>
      </c>
      <c r="X179">
        <v>599</v>
      </c>
    </row>
    <row r="180" spans="1:24" x14ac:dyDescent="0.3">
      <c r="A180">
        <v>161</v>
      </c>
      <c r="B180" t="s">
        <v>192</v>
      </c>
      <c r="C180" t="s">
        <v>35</v>
      </c>
      <c r="D180" t="s">
        <v>44</v>
      </c>
      <c r="E180" t="s">
        <v>202</v>
      </c>
      <c r="F180">
        <v>49</v>
      </c>
      <c r="G180" t="s">
        <v>126</v>
      </c>
      <c r="H180" s="1">
        <v>43399</v>
      </c>
      <c r="I180" s="1">
        <v>44632</v>
      </c>
      <c r="J180" t="s">
        <v>127</v>
      </c>
      <c r="K180">
        <v>2018</v>
      </c>
      <c r="L180">
        <v>1227</v>
      </c>
      <c r="M180">
        <v>41</v>
      </c>
      <c r="N180">
        <v>6</v>
      </c>
      <c r="O180">
        <v>9455</v>
      </c>
      <c r="P180" t="s">
        <v>132</v>
      </c>
      <c r="Q180">
        <v>3.26</v>
      </c>
      <c r="R180" t="s">
        <v>129</v>
      </c>
      <c r="S180">
        <v>1</v>
      </c>
      <c r="T180">
        <v>2</v>
      </c>
      <c r="U180">
        <v>47</v>
      </c>
      <c r="V180">
        <v>7</v>
      </c>
      <c r="W180">
        <v>1629</v>
      </c>
      <c r="X180">
        <v>233</v>
      </c>
    </row>
    <row r="181" spans="1:24" x14ac:dyDescent="0.3">
      <c r="A181">
        <v>151</v>
      </c>
      <c r="B181" t="s">
        <v>107</v>
      </c>
      <c r="C181" t="s">
        <v>20</v>
      </c>
      <c r="D181" t="s">
        <v>46</v>
      </c>
      <c r="E181" t="s">
        <v>201</v>
      </c>
      <c r="F181">
        <v>25</v>
      </c>
      <c r="G181" t="s">
        <v>134</v>
      </c>
      <c r="H181" s="1">
        <v>45171</v>
      </c>
      <c r="I181" s="1"/>
      <c r="J181" t="s">
        <v>131</v>
      </c>
      <c r="K181">
        <v>2023</v>
      </c>
      <c r="L181">
        <v>960</v>
      </c>
      <c r="M181">
        <v>32</v>
      </c>
      <c r="N181">
        <v>16</v>
      </c>
      <c r="O181">
        <v>7365</v>
      </c>
      <c r="P181" t="s">
        <v>132</v>
      </c>
      <c r="Q181">
        <v>4.29</v>
      </c>
      <c r="R181" t="s">
        <v>133</v>
      </c>
      <c r="S181">
        <v>4</v>
      </c>
      <c r="T181">
        <v>1</v>
      </c>
      <c r="U181">
        <v>28</v>
      </c>
      <c r="V181">
        <v>3</v>
      </c>
      <c r="W181">
        <v>1028</v>
      </c>
      <c r="X181">
        <v>343</v>
      </c>
    </row>
    <row r="182" spans="1:24" x14ac:dyDescent="0.3">
      <c r="A182">
        <v>152</v>
      </c>
      <c r="B182" t="s">
        <v>108</v>
      </c>
      <c r="C182" t="s">
        <v>23</v>
      </c>
      <c r="D182" t="s">
        <v>71</v>
      </c>
      <c r="E182" t="s">
        <v>202</v>
      </c>
      <c r="F182">
        <v>43</v>
      </c>
      <c r="G182" t="s">
        <v>126</v>
      </c>
      <c r="H182" s="1">
        <v>45203</v>
      </c>
      <c r="I182" s="1"/>
      <c r="J182" t="s">
        <v>131</v>
      </c>
      <c r="K182">
        <v>2023</v>
      </c>
      <c r="L182">
        <v>944</v>
      </c>
      <c r="M182">
        <v>31</v>
      </c>
      <c r="N182">
        <v>0</v>
      </c>
      <c r="O182">
        <v>9049</v>
      </c>
      <c r="P182" t="s">
        <v>132</v>
      </c>
      <c r="Q182">
        <v>4.3099999999999996</v>
      </c>
      <c r="R182" t="s">
        <v>133</v>
      </c>
      <c r="S182">
        <v>4</v>
      </c>
      <c r="T182">
        <v>3</v>
      </c>
      <c r="U182">
        <v>47</v>
      </c>
      <c r="V182">
        <v>13</v>
      </c>
      <c r="W182">
        <v>1284</v>
      </c>
      <c r="X182">
        <v>99</v>
      </c>
    </row>
    <row r="183" spans="1:24" x14ac:dyDescent="0.3">
      <c r="A183">
        <v>156</v>
      </c>
      <c r="B183" t="s">
        <v>109</v>
      </c>
      <c r="C183" t="s">
        <v>17</v>
      </c>
      <c r="D183" t="s">
        <v>18</v>
      </c>
      <c r="E183" t="s">
        <v>201</v>
      </c>
      <c r="F183">
        <v>25</v>
      </c>
      <c r="G183" t="s">
        <v>134</v>
      </c>
      <c r="H183" s="1">
        <v>44818</v>
      </c>
      <c r="I183" s="1"/>
      <c r="J183" t="s">
        <v>131</v>
      </c>
      <c r="K183">
        <v>2022</v>
      </c>
      <c r="L183">
        <v>1322</v>
      </c>
      <c r="M183">
        <v>44</v>
      </c>
      <c r="N183">
        <v>7</v>
      </c>
      <c r="O183">
        <v>13731</v>
      </c>
      <c r="P183" t="s">
        <v>128</v>
      </c>
      <c r="Q183">
        <v>2.58</v>
      </c>
      <c r="R183" t="s">
        <v>129</v>
      </c>
      <c r="S183">
        <v>5</v>
      </c>
      <c r="T183">
        <v>1</v>
      </c>
      <c r="U183">
        <v>47</v>
      </c>
      <c r="V183">
        <v>2</v>
      </c>
      <c r="W183">
        <v>923</v>
      </c>
      <c r="X183">
        <v>462</v>
      </c>
    </row>
    <row r="184" spans="1:24" x14ac:dyDescent="0.3">
      <c r="A184">
        <v>166</v>
      </c>
      <c r="B184" t="s">
        <v>109</v>
      </c>
      <c r="C184" t="s">
        <v>17</v>
      </c>
      <c r="D184" t="s">
        <v>53</v>
      </c>
      <c r="E184" t="s">
        <v>201</v>
      </c>
      <c r="F184">
        <v>23</v>
      </c>
      <c r="G184" t="s">
        <v>134</v>
      </c>
      <c r="H184" s="1">
        <v>44048</v>
      </c>
      <c r="I184" s="1">
        <v>44387</v>
      </c>
      <c r="J184" t="s">
        <v>127</v>
      </c>
      <c r="K184">
        <v>2020</v>
      </c>
      <c r="L184">
        <v>324</v>
      </c>
      <c r="M184">
        <v>11</v>
      </c>
      <c r="N184">
        <v>15</v>
      </c>
      <c r="O184">
        <v>14122</v>
      </c>
      <c r="P184" t="s">
        <v>128</v>
      </c>
      <c r="Q184">
        <v>4.09</v>
      </c>
      <c r="R184" t="s">
        <v>133</v>
      </c>
      <c r="S184">
        <v>5</v>
      </c>
      <c r="T184">
        <v>4</v>
      </c>
      <c r="U184">
        <v>1</v>
      </c>
      <c r="V184">
        <v>0</v>
      </c>
      <c r="W184">
        <v>1189</v>
      </c>
    </row>
    <row r="185" spans="1:24" x14ac:dyDescent="0.3">
      <c r="A185">
        <v>157</v>
      </c>
      <c r="B185" t="s">
        <v>193</v>
      </c>
      <c r="C185" t="s">
        <v>32</v>
      </c>
      <c r="D185" t="s">
        <v>42</v>
      </c>
      <c r="E185" t="s">
        <v>201</v>
      </c>
      <c r="F185">
        <v>48</v>
      </c>
      <c r="G185" t="s">
        <v>126</v>
      </c>
      <c r="H185" s="1">
        <v>44060</v>
      </c>
      <c r="I185" s="1"/>
      <c r="J185" t="s">
        <v>131</v>
      </c>
      <c r="K185">
        <v>2020</v>
      </c>
      <c r="L185">
        <v>2080</v>
      </c>
      <c r="M185">
        <v>69</v>
      </c>
      <c r="N185">
        <v>7</v>
      </c>
      <c r="O185">
        <v>13438</v>
      </c>
      <c r="P185" t="s">
        <v>128</v>
      </c>
      <c r="Q185">
        <v>3.3</v>
      </c>
      <c r="R185" t="s">
        <v>129</v>
      </c>
      <c r="S185">
        <v>5</v>
      </c>
      <c r="T185">
        <v>3</v>
      </c>
      <c r="U185">
        <v>19</v>
      </c>
      <c r="V185">
        <v>9</v>
      </c>
      <c r="W185">
        <v>1452</v>
      </c>
      <c r="X185">
        <v>161</v>
      </c>
    </row>
    <row r="186" spans="1:24" x14ac:dyDescent="0.3">
      <c r="A186">
        <v>158</v>
      </c>
      <c r="B186" t="s">
        <v>110</v>
      </c>
      <c r="C186" t="s">
        <v>20</v>
      </c>
      <c r="D186" t="s">
        <v>21</v>
      </c>
      <c r="E186" t="s">
        <v>201</v>
      </c>
      <c r="F186">
        <v>39</v>
      </c>
      <c r="G186" t="s">
        <v>130</v>
      </c>
      <c r="H186" s="1">
        <v>44006</v>
      </c>
      <c r="I186" s="1"/>
      <c r="J186" t="s">
        <v>131</v>
      </c>
      <c r="K186">
        <v>2020</v>
      </c>
      <c r="L186">
        <v>2125</v>
      </c>
      <c r="M186">
        <v>71</v>
      </c>
      <c r="N186">
        <v>16</v>
      </c>
      <c r="O186">
        <v>12120</v>
      </c>
      <c r="P186" t="s">
        <v>128</v>
      </c>
      <c r="Q186">
        <v>2.62</v>
      </c>
      <c r="R186" t="s">
        <v>129</v>
      </c>
      <c r="S186">
        <v>3</v>
      </c>
      <c r="T186">
        <v>4</v>
      </c>
      <c r="U186">
        <v>20</v>
      </c>
      <c r="V186">
        <v>26</v>
      </c>
      <c r="W186">
        <v>936</v>
      </c>
      <c r="X186">
        <v>36</v>
      </c>
    </row>
    <row r="187" spans="1:24" x14ac:dyDescent="0.3">
      <c r="A187">
        <v>163</v>
      </c>
      <c r="B187" t="s">
        <v>111</v>
      </c>
      <c r="C187" t="s">
        <v>32</v>
      </c>
      <c r="D187" t="s">
        <v>42</v>
      </c>
      <c r="E187" t="s">
        <v>202</v>
      </c>
      <c r="F187">
        <v>35</v>
      </c>
      <c r="G187" t="s">
        <v>130</v>
      </c>
      <c r="H187" s="1">
        <v>45009</v>
      </c>
      <c r="I187" s="1"/>
      <c r="J187" t="s">
        <v>131</v>
      </c>
      <c r="K187">
        <v>2023</v>
      </c>
      <c r="L187">
        <v>1138</v>
      </c>
      <c r="M187">
        <v>38</v>
      </c>
      <c r="N187">
        <v>0</v>
      </c>
      <c r="O187">
        <v>4749</v>
      </c>
      <c r="P187" t="s">
        <v>129</v>
      </c>
      <c r="Q187">
        <v>3.91</v>
      </c>
      <c r="R187" t="s">
        <v>133</v>
      </c>
      <c r="S187">
        <v>2</v>
      </c>
      <c r="T187">
        <v>2</v>
      </c>
      <c r="U187">
        <v>16</v>
      </c>
      <c r="V187">
        <v>35</v>
      </c>
      <c r="W187">
        <v>1296</v>
      </c>
      <c r="X187">
        <v>37</v>
      </c>
    </row>
    <row r="188" spans="1:24" x14ac:dyDescent="0.3">
      <c r="A188">
        <v>168</v>
      </c>
      <c r="B188" t="s">
        <v>194</v>
      </c>
      <c r="C188" t="s">
        <v>23</v>
      </c>
      <c r="D188" t="s">
        <v>24</v>
      </c>
      <c r="E188" t="s">
        <v>202</v>
      </c>
      <c r="F188">
        <v>33</v>
      </c>
      <c r="G188" t="s">
        <v>130</v>
      </c>
      <c r="H188" s="1">
        <v>45639</v>
      </c>
      <c r="I188" s="1"/>
      <c r="J188" t="s">
        <v>131</v>
      </c>
      <c r="K188">
        <v>2024</v>
      </c>
      <c r="L188">
        <v>499</v>
      </c>
      <c r="M188">
        <v>17</v>
      </c>
      <c r="N188">
        <v>9</v>
      </c>
      <c r="O188">
        <v>10652</v>
      </c>
      <c r="P188" t="s">
        <v>128</v>
      </c>
      <c r="Q188">
        <v>3.65</v>
      </c>
      <c r="R188" t="s">
        <v>133</v>
      </c>
      <c r="S188">
        <v>2</v>
      </c>
      <c r="T188">
        <v>2</v>
      </c>
      <c r="U188">
        <v>43</v>
      </c>
      <c r="V188">
        <v>5</v>
      </c>
      <c r="W188">
        <v>1438</v>
      </c>
      <c r="X188">
        <v>288</v>
      </c>
    </row>
    <row r="189" spans="1:24" x14ac:dyDescent="0.3">
      <c r="A189">
        <v>169</v>
      </c>
      <c r="B189" t="s">
        <v>195</v>
      </c>
      <c r="C189" t="s">
        <v>17</v>
      </c>
      <c r="D189" t="s">
        <v>53</v>
      </c>
      <c r="E189" t="s">
        <v>201</v>
      </c>
      <c r="F189">
        <v>42</v>
      </c>
      <c r="G189" t="s">
        <v>126</v>
      </c>
      <c r="H189" s="1">
        <v>43230</v>
      </c>
      <c r="I189" s="1">
        <v>44036</v>
      </c>
      <c r="J189" t="s">
        <v>127</v>
      </c>
      <c r="K189">
        <v>2018</v>
      </c>
      <c r="L189">
        <v>793</v>
      </c>
      <c r="M189">
        <v>26</v>
      </c>
      <c r="N189">
        <v>13</v>
      </c>
      <c r="O189">
        <v>4154</v>
      </c>
      <c r="P189" t="s">
        <v>129</v>
      </c>
      <c r="Q189">
        <v>4.26</v>
      </c>
      <c r="R189" t="s">
        <v>133</v>
      </c>
      <c r="S189">
        <v>1</v>
      </c>
      <c r="T189">
        <v>4</v>
      </c>
      <c r="U189">
        <v>41</v>
      </c>
      <c r="V189">
        <v>21</v>
      </c>
      <c r="W189">
        <v>1258</v>
      </c>
      <c r="X189">
        <v>60</v>
      </c>
    </row>
    <row r="190" spans="1:24" x14ac:dyDescent="0.3">
      <c r="A190">
        <v>171</v>
      </c>
      <c r="B190" t="s">
        <v>196</v>
      </c>
      <c r="C190" t="s">
        <v>27</v>
      </c>
      <c r="D190" t="s">
        <v>28</v>
      </c>
      <c r="E190" t="s">
        <v>202</v>
      </c>
      <c r="F190">
        <v>31</v>
      </c>
      <c r="G190" t="s">
        <v>130</v>
      </c>
      <c r="H190" s="1">
        <v>43165</v>
      </c>
      <c r="I190" s="1"/>
      <c r="J190" t="s">
        <v>131</v>
      </c>
      <c r="K190">
        <v>2018</v>
      </c>
      <c r="L190">
        <v>2965</v>
      </c>
      <c r="M190">
        <v>99</v>
      </c>
      <c r="N190">
        <v>17</v>
      </c>
      <c r="O190">
        <v>6661</v>
      </c>
      <c r="P190" t="s">
        <v>132</v>
      </c>
      <c r="Q190">
        <v>3.91</v>
      </c>
      <c r="R190" t="s">
        <v>133</v>
      </c>
      <c r="S190">
        <v>5</v>
      </c>
      <c r="T190">
        <v>4</v>
      </c>
      <c r="U190">
        <v>21</v>
      </c>
      <c r="V190">
        <v>24</v>
      </c>
      <c r="W190">
        <v>1647</v>
      </c>
      <c r="X190">
        <v>69</v>
      </c>
    </row>
    <row r="191" spans="1:24" x14ac:dyDescent="0.3">
      <c r="A191">
        <v>175</v>
      </c>
      <c r="B191" t="s">
        <v>112</v>
      </c>
      <c r="C191" t="s">
        <v>23</v>
      </c>
      <c r="D191" t="s">
        <v>71</v>
      </c>
      <c r="E191" t="s">
        <v>202</v>
      </c>
      <c r="F191">
        <v>25</v>
      </c>
      <c r="G191" t="s">
        <v>134</v>
      </c>
      <c r="H191" s="1">
        <v>43458</v>
      </c>
      <c r="I191" s="1">
        <v>44407</v>
      </c>
      <c r="J191" t="s">
        <v>127</v>
      </c>
      <c r="K191">
        <v>2018</v>
      </c>
      <c r="L191">
        <v>930</v>
      </c>
      <c r="M191">
        <v>31</v>
      </c>
      <c r="N191">
        <v>19</v>
      </c>
      <c r="O191">
        <v>4430</v>
      </c>
      <c r="P191" t="s">
        <v>129</v>
      </c>
      <c r="Q191">
        <v>2.72</v>
      </c>
      <c r="R191" t="s">
        <v>129</v>
      </c>
      <c r="S191">
        <v>5</v>
      </c>
      <c r="T191">
        <v>1</v>
      </c>
      <c r="U191">
        <v>38</v>
      </c>
      <c r="V191">
        <v>20</v>
      </c>
      <c r="W191">
        <v>1868</v>
      </c>
      <c r="X191">
        <v>93</v>
      </c>
    </row>
    <row r="192" spans="1:24" x14ac:dyDescent="0.3">
      <c r="A192">
        <v>179</v>
      </c>
      <c r="B192" t="s">
        <v>113</v>
      </c>
      <c r="C192" t="s">
        <v>23</v>
      </c>
      <c r="D192" t="s">
        <v>24</v>
      </c>
      <c r="E192" t="s">
        <v>201</v>
      </c>
      <c r="F192">
        <v>40</v>
      </c>
      <c r="G192" t="s">
        <v>130</v>
      </c>
      <c r="H192" s="1">
        <v>45063</v>
      </c>
      <c r="I192" s="1"/>
      <c r="J192" t="s">
        <v>131</v>
      </c>
      <c r="K192">
        <v>2023</v>
      </c>
      <c r="L192">
        <v>1073</v>
      </c>
      <c r="M192">
        <v>36</v>
      </c>
      <c r="N192">
        <v>11</v>
      </c>
      <c r="O192">
        <v>7971</v>
      </c>
      <c r="P192" t="s">
        <v>132</v>
      </c>
      <c r="Q192">
        <v>3.31</v>
      </c>
      <c r="R192" t="s">
        <v>129</v>
      </c>
      <c r="S192">
        <v>3</v>
      </c>
      <c r="T192">
        <v>4</v>
      </c>
      <c r="U192">
        <v>7</v>
      </c>
      <c r="V192">
        <v>36</v>
      </c>
      <c r="W192">
        <v>509</v>
      </c>
      <c r="X192">
        <v>14</v>
      </c>
    </row>
    <row r="193" spans="1:24" x14ac:dyDescent="0.3">
      <c r="A193">
        <v>180</v>
      </c>
      <c r="B193" t="s">
        <v>114</v>
      </c>
      <c r="C193" t="s">
        <v>20</v>
      </c>
      <c r="D193" t="s">
        <v>21</v>
      </c>
      <c r="E193" t="s">
        <v>201</v>
      </c>
      <c r="F193">
        <v>47</v>
      </c>
      <c r="G193" t="s">
        <v>126</v>
      </c>
      <c r="H193" s="1">
        <v>45335</v>
      </c>
      <c r="I193" s="1"/>
      <c r="J193" t="s">
        <v>131</v>
      </c>
      <c r="K193">
        <v>2024</v>
      </c>
      <c r="L193">
        <v>797</v>
      </c>
      <c r="M193">
        <v>27</v>
      </c>
      <c r="N193">
        <v>15</v>
      </c>
      <c r="O193">
        <v>8773</v>
      </c>
      <c r="P193" t="s">
        <v>132</v>
      </c>
      <c r="Q193">
        <v>4.58</v>
      </c>
      <c r="R193" t="s">
        <v>128</v>
      </c>
      <c r="S193">
        <v>1</v>
      </c>
      <c r="T193">
        <v>4</v>
      </c>
      <c r="U193">
        <v>8</v>
      </c>
      <c r="V193">
        <v>40</v>
      </c>
      <c r="W193">
        <v>720</v>
      </c>
      <c r="X193">
        <v>18</v>
      </c>
    </row>
    <row r="194" spans="1:24" x14ac:dyDescent="0.3">
      <c r="A194">
        <v>181</v>
      </c>
      <c r="B194" t="s">
        <v>115</v>
      </c>
      <c r="C194" t="s">
        <v>23</v>
      </c>
      <c r="D194" t="s">
        <v>30</v>
      </c>
      <c r="E194" t="s">
        <v>202</v>
      </c>
      <c r="F194">
        <v>41</v>
      </c>
      <c r="G194" t="s">
        <v>126</v>
      </c>
      <c r="H194" s="1">
        <v>44135</v>
      </c>
      <c r="I194" s="1"/>
      <c r="J194" t="s">
        <v>131</v>
      </c>
      <c r="K194">
        <v>2020</v>
      </c>
      <c r="L194">
        <v>1999</v>
      </c>
      <c r="M194">
        <v>67</v>
      </c>
      <c r="N194">
        <v>13</v>
      </c>
      <c r="O194">
        <v>11851</v>
      </c>
      <c r="P194" t="s">
        <v>128</v>
      </c>
      <c r="Q194">
        <v>3.96</v>
      </c>
      <c r="R194" t="s">
        <v>133</v>
      </c>
      <c r="S194">
        <v>5</v>
      </c>
      <c r="T194">
        <v>5</v>
      </c>
      <c r="U194">
        <v>34</v>
      </c>
      <c r="V194">
        <v>2</v>
      </c>
      <c r="W194">
        <v>1719</v>
      </c>
      <c r="X194">
        <v>860</v>
      </c>
    </row>
    <row r="195" spans="1:24" x14ac:dyDescent="0.3">
      <c r="A195">
        <v>182</v>
      </c>
      <c r="B195" t="s">
        <v>116</v>
      </c>
      <c r="C195" t="s">
        <v>27</v>
      </c>
      <c r="D195" t="s">
        <v>49</v>
      </c>
      <c r="E195" t="s">
        <v>201</v>
      </c>
      <c r="F195">
        <v>27</v>
      </c>
      <c r="G195" t="s">
        <v>134</v>
      </c>
      <c r="H195" s="1">
        <v>45300</v>
      </c>
      <c r="I195" s="1"/>
      <c r="J195" t="s">
        <v>131</v>
      </c>
      <c r="K195">
        <v>2024</v>
      </c>
      <c r="L195">
        <v>837</v>
      </c>
      <c r="M195">
        <v>28</v>
      </c>
      <c r="N195">
        <v>10</v>
      </c>
      <c r="O195">
        <v>14600</v>
      </c>
      <c r="P195" t="s">
        <v>128</v>
      </c>
      <c r="Q195">
        <v>4.03</v>
      </c>
      <c r="R195" t="s">
        <v>133</v>
      </c>
      <c r="S195">
        <v>5</v>
      </c>
      <c r="T195">
        <v>4</v>
      </c>
      <c r="U195">
        <v>50</v>
      </c>
      <c r="V195">
        <v>27</v>
      </c>
      <c r="W195">
        <v>316</v>
      </c>
      <c r="X195">
        <v>12</v>
      </c>
    </row>
    <row r="196" spans="1:24" x14ac:dyDescent="0.3">
      <c r="A196">
        <v>184</v>
      </c>
      <c r="B196" t="s">
        <v>116</v>
      </c>
      <c r="C196" t="s">
        <v>35</v>
      </c>
      <c r="D196" t="s">
        <v>39</v>
      </c>
      <c r="E196" t="s">
        <v>201</v>
      </c>
      <c r="F196">
        <v>31</v>
      </c>
      <c r="G196" t="s">
        <v>130</v>
      </c>
      <c r="H196" s="1">
        <v>44311</v>
      </c>
      <c r="I196" s="1"/>
      <c r="J196" t="s">
        <v>131</v>
      </c>
      <c r="K196">
        <v>2021</v>
      </c>
      <c r="L196">
        <v>1821</v>
      </c>
      <c r="M196">
        <v>61</v>
      </c>
      <c r="N196">
        <v>15</v>
      </c>
      <c r="O196">
        <v>9620</v>
      </c>
      <c r="P196" t="s">
        <v>132</v>
      </c>
      <c r="Q196">
        <v>3.64</v>
      </c>
      <c r="R196" t="s">
        <v>133</v>
      </c>
      <c r="S196">
        <v>2</v>
      </c>
      <c r="T196">
        <v>5</v>
      </c>
      <c r="U196">
        <v>22</v>
      </c>
      <c r="V196">
        <v>30</v>
      </c>
      <c r="W196">
        <v>299</v>
      </c>
      <c r="X196">
        <v>10</v>
      </c>
    </row>
    <row r="197" spans="1:24" x14ac:dyDescent="0.3">
      <c r="A197">
        <v>197</v>
      </c>
      <c r="B197" t="s">
        <v>116</v>
      </c>
      <c r="C197" t="s">
        <v>27</v>
      </c>
      <c r="D197" t="s">
        <v>28</v>
      </c>
      <c r="E197" t="s">
        <v>201</v>
      </c>
      <c r="F197">
        <v>44</v>
      </c>
      <c r="G197" t="s">
        <v>126</v>
      </c>
      <c r="H197" s="1">
        <v>44797</v>
      </c>
      <c r="I197" s="1"/>
      <c r="J197" t="s">
        <v>131</v>
      </c>
      <c r="K197">
        <v>2022</v>
      </c>
      <c r="L197">
        <v>1332</v>
      </c>
      <c r="M197">
        <v>44</v>
      </c>
      <c r="N197">
        <v>18</v>
      </c>
      <c r="O197">
        <v>10046</v>
      </c>
      <c r="P197" t="s">
        <v>128</v>
      </c>
      <c r="Q197">
        <v>3.64</v>
      </c>
      <c r="R197" t="s">
        <v>133</v>
      </c>
      <c r="S197">
        <v>4</v>
      </c>
      <c r="T197">
        <v>3</v>
      </c>
      <c r="U197">
        <v>0</v>
      </c>
      <c r="V197">
        <v>5</v>
      </c>
      <c r="W197">
        <v>1596</v>
      </c>
      <c r="X197">
        <v>319</v>
      </c>
    </row>
    <row r="198" spans="1:24" x14ac:dyDescent="0.3">
      <c r="A198">
        <v>185</v>
      </c>
      <c r="B198" t="s">
        <v>197</v>
      </c>
      <c r="C198" t="s">
        <v>32</v>
      </c>
      <c r="D198" t="s">
        <v>33</v>
      </c>
      <c r="E198" t="s">
        <v>201</v>
      </c>
      <c r="F198">
        <v>49</v>
      </c>
      <c r="G198" t="s">
        <v>126</v>
      </c>
      <c r="H198" s="1">
        <v>44954</v>
      </c>
      <c r="I198" s="1"/>
      <c r="J198" t="s">
        <v>131</v>
      </c>
      <c r="K198">
        <v>2023</v>
      </c>
      <c r="L198">
        <v>1177</v>
      </c>
      <c r="M198">
        <v>39</v>
      </c>
      <c r="N198">
        <v>16</v>
      </c>
      <c r="O198">
        <v>9620</v>
      </c>
      <c r="P198" t="s">
        <v>132</v>
      </c>
      <c r="Q198">
        <v>4.12</v>
      </c>
      <c r="R198" t="s">
        <v>133</v>
      </c>
      <c r="S198">
        <v>2</v>
      </c>
      <c r="T198">
        <v>2</v>
      </c>
      <c r="U198">
        <v>11</v>
      </c>
      <c r="V198">
        <v>35</v>
      </c>
      <c r="W198">
        <v>427</v>
      </c>
      <c r="X198">
        <v>12</v>
      </c>
    </row>
    <row r="199" spans="1:24" x14ac:dyDescent="0.3">
      <c r="A199">
        <v>186</v>
      </c>
      <c r="B199" t="s">
        <v>198</v>
      </c>
      <c r="C199" t="s">
        <v>27</v>
      </c>
      <c r="D199" t="s">
        <v>28</v>
      </c>
      <c r="E199" t="s">
        <v>202</v>
      </c>
      <c r="F199">
        <v>27</v>
      </c>
      <c r="G199" t="s">
        <v>134</v>
      </c>
      <c r="H199" s="1">
        <v>45394</v>
      </c>
      <c r="I199" s="1"/>
      <c r="J199" t="s">
        <v>131</v>
      </c>
      <c r="K199">
        <v>2024</v>
      </c>
      <c r="L199">
        <v>734</v>
      </c>
      <c r="M199">
        <v>24</v>
      </c>
      <c r="N199">
        <v>19</v>
      </c>
      <c r="O199">
        <v>14493</v>
      </c>
      <c r="P199" t="s">
        <v>128</v>
      </c>
      <c r="Q199">
        <v>4.1399999999999997</v>
      </c>
      <c r="R199" t="s">
        <v>133</v>
      </c>
      <c r="S199">
        <v>4</v>
      </c>
      <c r="T199">
        <v>1</v>
      </c>
      <c r="U199">
        <v>56</v>
      </c>
      <c r="V199">
        <v>12</v>
      </c>
      <c r="W199">
        <v>1020</v>
      </c>
      <c r="X199">
        <v>85</v>
      </c>
    </row>
    <row r="200" spans="1:24" x14ac:dyDescent="0.3">
      <c r="A200">
        <v>188</v>
      </c>
      <c r="B200" t="s">
        <v>117</v>
      </c>
      <c r="C200" t="s">
        <v>35</v>
      </c>
      <c r="D200" t="s">
        <v>56</v>
      </c>
      <c r="E200" t="s">
        <v>202</v>
      </c>
      <c r="F200">
        <v>41</v>
      </c>
      <c r="G200" t="s">
        <v>126</v>
      </c>
      <c r="H200" s="1">
        <v>44175</v>
      </c>
      <c r="I200" s="1"/>
      <c r="J200" t="s">
        <v>131</v>
      </c>
      <c r="K200">
        <v>2020</v>
      </c>
      <c r="L200">
        <v>1958</v>
      </c>
      <c r="M200">
        <v>65</v>
      </c>
      <c r="N200">
        <v>14</v>
      </c>
      <c r="O200">
        <v>10431</v>
      </c>
      <c r="P200" t="s">
        <v>128</v>
      </c>
      <c r="Q200">
        <v>3.97</v>
      </c>
      <c r="R200" t="s">
        <v>133</v>
      </c>
      <c r="S200">
        <v>3</v>
      </c>
      <c r="T200">
        <v>3</v>
      </c>
      <c r="U200">
        <v>39</v>
      </c>
      <c r="V200">
        <v>11</v>
      </c>
      <c r="W200">
        <v>1766</v>
      </c>
      <c r="X200">
        <v>161</v>
      </c>
    </row>
    <row r="201" spans="1:24" x14ac:dyDescent="0.3">
      <c r="A201">
        <v>195</v>
      </c>
      <c r="B201" t="s">
        <v>118</v>
      </c>
      <c r="C201" t="s">
        <v>23</v>
      </c>
      <c r="D201" t="s">
        <v>71</v>
      </c>
      <c r="E201" t="s">
        <v>202</v>
      </c>
      <c r="F201">
        <v>41</v>
      </c>
      <c r="G201" t="s">
        <v>126</v>
      </c>
      <c r="H201" s="1">
        <v>43948</v>
      </c>
      <c r="I201" s="1"/>
      <c r="J201" t="s">
        <v>131</v>
      </c>
      <c r="K201">
        <v>2020</v>
      </c>
      <c r="L201">
        <v>2181</v>
      </c>
      <c r="M201">
        <v>73</v>
      </c>
      <c r="N201">
        <v>18</v>
      </c>
      <c r="O201">
        <v>12827</v>
      </c>
      <c r="P201" t="s">
        <v>128</v>
      </c>
      <c r="Q201">
        <v>2.92</v>
      </c>
      <c r="R201" t="s">
        <v>129</v>
      </c>
      <c r="S201">
        <v>3</v>
      </c>
      <c r="T201">
        <v>3</v>
      </c>
      <c r="U201">
        <v>17</v>
      </c>
      <c r="V201">
        <v>32</v>
      </c>
      <c r="W201">
        <v>1943</v>
      </c>
      <c r="X201">
        <v>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E5C80-964D-401D-83B1-2FA761778E83}">
  <sheetPr>
    <tabColor theme="7" tint="0.59999389629810485"/>
  </sheetPr>
  <dimension ref="B1:AD197"/>
  <sheetViews>
    <sheetView zoomScale="58" zoomScaleNormal="46" workbookViewId="0">
      <selection activeCell="I58" sqref="I58"/>
    </sheetView>
  </sheetViews>
  <sheetFormatPr defaultRowHeight="14.4" x14ac:dyDescent="0.3"/>
  <cols>
    <col min="1" max="1" width="7.5546875" style="6" customWidth="1"/>
    <col min="2" max="2" width="35.109375" style="6" bestFit="1" customWidth="1"/>
    <col min="3" max="3" width="25.6640625" style="6" bestFit="1" customWidth="1"/>
    <col min="4" max="4" width="19.33203125" style="6" bestFit="1" customWidth="1"/>
    <col min="5" max="5" width="21.21875" style="6" bestFit="1" customWidth="1"/>
    <col min="6" max="6" width="15.109375" style="6" bestFit="1" customWidth="1"/>
    <col min="7" max="7" width="6.21875" style="6" customWidth="1"/>
    <col min="8" max="8" width="4.6640625" style="6" customWidth="1"/>
    <col min="9" max="9" width="24.21875" style="6" bestFit="1" customWidth="1"/>
    <col min="10" max="10" width="22.109375" style="6" bestFit="1" customWidth="1"/>
    <col min="11" max="11" width="18" style="6" bestFit="1" customWidth="1"/>
    <col min="12" max="12" width="10.5546875" style="6" bestFit="1" customWidth="1"/>
    <col min="13" max="13" width="22" style="6" customWidth="1"/>
    <col min="14" max="14" width="5.88671875" style="6" customWidth="1"/>
    <col min="15" max="15" width="4.77734375" style="6" customWidth="1"/>
    <col min="16" max="16" width="24.21875" style="6" bestFit="1" customWidth="1"/>
    <col min="17" max="17" width="31.77734375" style="6" bestFit="1" customWidth="1"/>
    <col min="18" max="18" width="5.21875" style="6" bestFit="1" customWidth="1"/>
    <col min="19" max="19" width="4.21875" style="6" bestFit="1" customWidth="1"/>
    <col min="20" max="20" width="13.109375" style="6" bestFit="1" customWidth="1"/>
    <col min="21" max="21" width="14.109375" style="6" bestFit="1" customWidth="1"/>
    <col min="22" max="22" width="7.88671875" style="6" bestFit="1" customWidth="1"/>
    <col min="23" max="23" width="15.109375" style="6" bestFit="1" customWidth="1"/>
    <col min="24" max="24" width="17.77734375" style="6" bestFit="1" customWidth="1"/>
    <col min="25" max="25" width="3.44140625" style="6" bestFit="1" customWidth="1"/>
    <col min="26" max="26" width="2.44140625" style="6" bestFit="1" customWidth="1"/>
    <col min="27" max="27" width="24.21875" style="6" bestFit="1" customWidth="1"/>
    <col min="28" max="28" width="20.44140625" style="6" bestFit="1" customWidth="1"/>
    <col min="29" max="29" width="5.5546875" style="6" bestFit="1" customWidth="1"/>
    <col min="30" max="30" width="10.5546875" style="6" bestFit="1" customWidth="1"/>
    <col min="31" max="16384" width="8.88671875" style="6"/>
  </cols>
  <sheetData>
    <row r="1" spans="2:29" x14ac:dyDescent="0.3">
      <c r="B1" s="5" t="s">
        <v>135</v>
      </c>
      <c r="C1" s="6" t="s">
        <v>137</v>
      </c>
      <c r="I1" s="5" t="s">
        <v>135</v>
      </c>
      <c r="J1" s="6" t="s">
        <v>147</v>
      </c>
      <c r="K1"/>
      <c r="P1" s="5" t="s">
        <v>135</v>
      </c>
      <c r="Q1" s="6" t="s">
        <v>137</v>
      </c>
      <c r="R1"/>
    </row>
    <row r="2" spans="2:29" x14ac:dyDescent="0.3">
      <c r="B2" s="6" t="s">
        <v>127</v>
      </c>
      <c r="C2" s="7">
        <v>0.19</v>
      </c>
      <c r="E2" s="13">
        <f>GETPIVOTDATA("EmployeeID",$B$1,"ExitStatus","Left")</f>
        <v>0.19</v>
      </c>
      <c r="F2" s="6" t="s">
        <v>139</v>
      </c>
      <c r="I2" s="6" t="s">
        <v>201</v>
      </c>
      <c r="J2" s="17">
        <v>96</v>
      </c>
      <c r="K2"/>
      <c r="P2" s="6" t="s">
        <v>126</v>
      </c>
      <c r="Q2" s="17">
        <v>77</v>
      </c>
      <c r="R2"/>
    </row>
    <row r="3" spans="2:29" x14ac:dyDescent="0.3">
      <c r="B3" s="6" t="s">
        <v>131</v>
      </c>
      <c r="C3" s="7">
        <v>0.81</v>
      </c>
      <c r="E3" s="13">
        <f>GETPIVOTDATA("EmployeeID",$B$1,"ExitStatus","Still Work")</f>
        <v>0.81</v>
      </c>
      <c r="F3" s="6" t="s">
        <v>138</v>
      </c>
      <c r="I3" s="6" t="s">
        <v>202</v>
      </c>
      <c r="J3" s="17">
        <v>104</v>
      </c>
      <c r="K3"/>
      <c r="P3" s="6" t="s">
        <v>130</v>
      </c>
      <c r="Q3" s="17">
        <v>70</v>
      </c>
      <c r="R3"/>
      <c r="AC3"/>
    </row>
    <row r="4" spans="2:29" x14ac:dyDescent="0.3">
      <c r="B4" s="6" t="s">
        <v>136</v>
      </c>
      <c r="C4" s="7">
        <v>1</v>
      </c>
      <c r="I4" s="6" t="s">
        <v>136</v>
      </c>
      <c r="J4" s="17">
        <v>200</v>
      </c>
      <c r="P4" s="6" t="s">
        <v>134</v>
      </c>
      <c r="Q4" s="17">
        <v>53</v>
      </c>
      <c r="R4"/>
      <c r="AC4"/>
    </row>
    <row r="5" spans="2:29" x14ac:dyDescent="0.3">
      <c r="P5" s="6" t="s">
        <v>136</v>
      </c>
      <c r="Q5" s="17">
        <v>200</v>
      </c>
      <c r="R5"/>
      <c r="AC5"/>
    </row>
    <row r="6" spans="2:29" x14ac:dyDescent="0.3">
      <c r="B6" s="8"/>
      <c r="C6" s="8"/>
      <c r="D6" s="8"/>
      <c r="E6" s="8"/>
      <c r="F6" s="8"/>
      <c r="I6" s="12"/>
      <c r="J6" s="12"/>
      <c r="K6" s="12"/>
      <c r="L6" s="12"/>
      <c r="M6" s="12"/>
      <c r="P6"/>
      <c r="Q6"/>
      <c r="R6"/>
      <c r="AC6"/>
    </row>
    <row r="7" spans="2:29" x14ac:dyDescent="0.3">
      <c r="B7" s="6" t="s">
        <v>140</v>
      </c>
      <c r="I7" s="6" t="s">
        <v>148</v>
      </c>
      <c r="J7"/>
      <c r="K7"/>
      <c r="P7" s="3"/>
      <c r="Q7" s="3"/>
      <c r="R7" s="12"/>
      <c r="S7" s="12"/>
      <c r="T7" s="18"/>
      <c r="U7" s="12"/>
      <c r="V7" s="12"/>
      <c r="W7" s="18"/>
      <c r="AA7"/>
      <c r="AB7"/>
      <c r="AC7"/>
    </row>
    <row r="8" spans="2:29" x14ac:dyDescent="0.3">
      <c r="B8" s="9">
        <v>10.8</v>
      </c>
      <c r="D8" s="9">
        <f>GETPIVOTDATA("AbsenceDays",$B$7)</f>
        <v>10.8</v>
      </c>
      <c r="I8" s="17">
        <v>9582.3449999999993</v>
      </c>
      <c r="J8"/>
      <c r="K8" s="22">
        <f>GETPIVOTDATA("Salary",$I$7)</f>
        <v>9582.3449999999993</v>
      </c>
      <c r="P8" s="5" t="s">
        <v>135</v>
      </c>
      <c r="Q8" s="6" t="s">
        <v>137</v>
      </c>
      <c r="AA8"/>
      <c r="AB8"/>
      <c r="AC8"/>
    </row>
    <row r="9" spans="2:29" x14ac:dyDescent="0.3">
      <c r="I9"/>
      <c r="J9"/>
      <c r="K9"/>
      <c r="P9" s="6" t="s">
        <v>151</v>
      </c>
      <c r="Q9" s="17">
        <v>1</v>
      </c>
      <c r="AA9"/>
      <c r="AB9"/>
      <c r="AC9"/>
    </row>
    <row r="10" spans="2:29" x14ac:dyDescent="0.3">
      <c r="B10" s="8"/>
      <c r="C10" s="8"/>
      <c r="D10" s="8"/>
      <c r="E10" s="8"/>
      <c r="F10" s="8"/>
      <c r="I10" s="3"/>
      <c r="J10" s="3"/>
      <c r="K10" s="3"/>
      <c r="L10" s="12"/>
      <c r="M10" s="12"/>
      <c r="P10" s="6" t="s">
        <v>152</v>
      </c>
      <c r="Q10" s="17">
        <v>2</v>
      </c>
      <c r="AA10"/>
      <c r="AB10"/>
      <c r="AC10"/>
    </row>
    <row r="11" spans="2:29" x14ac:dyDescent="0.3">
      <c r="B11" s="6" t="s">
        <v>141</v>
      </c>
      <c r="I11" s="5" t="s">
        <v>135</v>
      </c>
      <c r="J11"/>
      <c r="K11"/>
      <c r="P11" s="6" t="s">
        <v>153</v>
      </c>
      <c r="Q11" s="17">
        <v>5</v>
      </c>
      <c r="AA11"/>
      <c r="AB11"/>
      <c r="AC11"/>
    </row>
    <row r="12" spans="2:29" x14ac:dyDescent="0.3">
      <c r="B12" s="17">
        <v>29.14</v>
      </c>
      <c r="D12" s="9">
        <f>GETPIVOTDATA("OvertimeHours",$B$11)</f>
        <v>29.14</v>
      </c>
      <c r="I12" s="6" t="s">
        <v>27</v>
      </c>
      <c r="J12"/>
      <c r="K12">
        <f>COUNTA(I12:I17)</f>
        <v>6</v>
      </c>
      <c r="P12" s="6" t="s">
        <v>154</v>
      </c>
      <c r="Q12" s="17">
        <v>3</v>
      </c>
      <c r="AA12"/>
      <c r="AB12"/>
      <c r="AC12"/>
    </row>
    <row r="13" spans="2:29" x14ac:dyDescent="0.3">
      <c r="I13" s="6" t="s">
        <v>23</v>
      </c>
      <c r="J13"/>
      <c r="K13"/>
      <c r="P13" s="6" t="s">
        <v>155</v>
      </c>
      <c r="Q13" s="17">
        <v>5</v>
      </c>
      <c r="AA13"/>
      <c r="AB13"/>
      <c r="AC13"/>
    </row>
    <row r="14" spans="2:29" x14ac:dyDescent="0.3">
      <c r="B14" s="8"/>
      <c r="C14" s="8"/>
      <c r="D14" s="8"/>
      <c r="E14" s="8"/>
      <c r="F14" s="8"/>
      <c r="I14" s="6" t="s">
        <v>35</v>
      </c>
      <c r="J14"/>
      <c r="K14"/>
      <c r="P14" s="6" t="s">
        <v>156</v>
      </c>
      <c r="Q14" s="17">
        <v>17</v>
      </c>
      <c r="AA14"/>
      <c r="AB14"/>
      <c r="AC14"/>
    </row>
    <row r="15" spans="2:29" x14ac:dyDescent="0.3">
      <c r="B15" s="6" t="s">
        <v>142</v>
      </c>
      <c r="I15" s="6" t="s">
        <v>32</v>
      </c>
      <c r="J15"/>
      <c r="K15"/>
      <c r="P15" s="6" t="s">
        <v>157</v>
      </c>
      <c r="Q15" s="17">
        <v>5</v>
      </c>
      <c r="AA15"/>
      <c r="AB15"/>
      <c r="AC15"/>
    </row>
    <row r="16" spans="2:29" x14ac:dyDescent="0.3">
      <c r="B16" s="17">
        <v>2.95</v>
      </c>
      <c r="D16" s="10">
        <f>GETPIVOTDATA("EngagementScore",$B$15)</f>
        <v>2.95</v>
      </c>
      <c r="I16" s="6" t="s">
        <v>17</v>
      </c>
      <c r="J16"/>
      <c r="K16"/>
      <c r="P16" s="6" t="s">
        <v>136</v>
      </c>
      <c r="Q16" s="17">
        <v>38</v>
      </c>
      <c r="AA16"/>
      <c r="AB16"/>
      <c r="AC16"/>
    </row>
    <row r="17" spans="2:30" x14ac:dyDescent="0.3">
      <c r="I17" s="6" t="s">
        <v>20</v>
      </c>
      <c r="J17"/>
      <c r="K17"/>
      <c r="P17"/>
      <c r="Q17"/>
      <c r="AA17"/>
      <c r="AB17"/>
      <c r="AC17"/>
    </row>
    <row r="18" spans="2:30" x14ac:dyDescent="0.3">
      <c r="B18" s="8"/>
      <c r="C18" s="8"/>
      <c r="D18" s="8"/>
      <c r="E18" s="8"/>
      <c r="F18" s="8"/>
      <c r="I18" s="6" t="s">
        <v>136</v>
      </c>
      <c r="J18"/>
      <c r="K18"/>
      <c r="P18" s="3"/>
      <c r="Q18" s="3"/>
      <c r="R18" s="12"/>
      <c r="S18" s="12"/>
      <c r="T18" s="18"/>
      <c r="U18" s="12"/>
      <c r="V18" s="12"/>
      <c r="W18" s="18"/>
      <c r="AA18"/>
      <c r="AB18"/>
      <c r="AC18"/>
    </row>
    <row r="19" spans="2:30" x14ac:dyDescent="0.3">
      <c r="B19" s="5" t="s">
        <v>135</v>
      </c>
      <c r="C19" s="6" t="s">
        <v>143</v>
      </c>
      <c r="E19" s="6" t="s">
        <v>145</v>
      </c>
      <c r="J19"/>
      <c r="K19"/>
      <c r="L19"/>
      <c r="M19"/>
      <c r="P19" s="5" t="s">
        <v>135</v>
      </c>
      <c r="Q19" s="6" t="s">
        <v>141</v>
      </c>
      <c r="R19"/>
      <c r="U19"/>
      <c r="V19"/>
      <c r="AA19"/>
      <c r="AB19"/>
      <c r="AC19"/>
    </row>
    <row r="20" spans="2:30" x14ac:dyDescent="0.3">
      <c r="B20" s="6">
        <v>1</v>
      </c>
      <c r="C20" s="7">
        <v>0.19</v>
      </c>
      <c r="E20" s="17">
        <v>3.11</v>
      </c>
      <c r="F20" s="10">
        <f>GETPIVOTDATA("SatisfactionScore",$E$19)</f>
        <v>3.11</v>
      </c>
      <c r="I20" s="12"/>
      <c r="J20" s="12"/>
      <c r="K20" s="3"/>
      <c r="L20" s="12"/>
      <c r="M20" s="12"/>
      <c r="P20" s="6" t="s">
        <v>23</v>
      </c>
      <c r="Q20" s="9">
        <v>26</v>
      </c>
      <c r="R20"/>
      <c r="U20"/>
      <c r="V20"/>
      <c r="AA20"/>
      <c r="AB20"/>
      <c r="AC20"/>
    </row>
    <row r="21" spans="2:30" x14ac:dyDescent="0.3">
      <c r="B21" s="6">
        <v>2</v>
      </c>
      <c r="C21" s="7">
        <v>0.18</v>
      </c>
      <c r="I21" s="5" t="s">
        <v>122</v>
      </c>
      <c r="J21" s="6" t="s">
        <v>199</v>
      </c>
      <c r="K21"/>
      <c r="P21" s="6" t="s">
        <v>17</v>
      </c>
      <c r="Q21" s="9">
        <v>27.333333333333332</v>
      </c>
      <c r="R21"/>
      <c r="U21"/>
      <c r="V21"/>
      <c r="AA21"/>
      <c r="AB21"/>
      <c r="AC21"/>
    </row>
    <row r="22" spans="2:30" x14ac:dyDescent="0.3">
      <c r="B22" s="6">
        <v>3</v>
      </c>
      <c r="C22" s="7">
        <v>0.19500000000000001</v>
      </c>
      <c r="I22"/>
      <c r="J22"/>
      <c r="K22"/>
      <c r="P22" s="6" t="s">
        <v>20</v>
      </c>
      <c r="Q22" s="9">
        <v>28.15909090909091</v>
      </c>
      <c r="R22"/>
      <c r="U22"/>
      <c r="V22"/>
      <c r="W22"/>
      <c r="AA22"/>
      <c r="AB22"/>
      <c r="AC22"/>
    </row>
    <row r="23" spans="2:30" x14ac:dyDescent="0.3">
      <c r="B23" s="6">
        <v>4</v>
      </c>
      <c r="C23" s="7">
        <v>0.2</v>
      </c>
      <c r="E23" s="6" t="s">
        <v>144</v>
      </c>
      <c r="F23" s="11">
        <f>GETPIVOTDATA("SatisfactionScore",$B$19,"SatisfactionScore",5)+GETPIVOTDATA("SatisfactionScore",$B$19,"SatisfactionScore",4)</f>
        <v>0.435</v>
      </c>
      <c r="I23" s="6" t="s">
        <v>137</v>
      </c>
      <c r="J23"/>
      <c r="K23"/>
      <c r="P23" s="6" t="s">
        <v>32</v>
      </c>
      <c r="Q23" s="9">
        <v>30.076923076923077</v>
      </c>
      <c r="R23"/>
      <c r="U23"/>
      <c r="V23"/>
      <c r="W23"/>
      <c r="AA23"/>
      <c r="AB23"/>
      <c r="AC23"/>
    </row>
    <row r="24" spans="2:30" x14ac:dyDescent="0.3">
      <c r="B24" s="6">
        <v>5</v>
      </c>
      <c r="C24" s="7">
        <v>0.23499999999999999</v>
      </c>
      <c r="I24" s="17">
        <v>2</v>
      </c>
      <c r="J24" s="4">
        <f>GETPIVOTDATA("EmployeeID",$I$23)/200</f>
        <v>0.01</v>
      </c>
      <c r="K24" s="14" t="s">
        <v>149</v>
      </c>
      <c r="P24" s="6" t="s">
        <v>27</v>
      </c>
      <c r="Q24" s="9">
        <v>31.612903225806452</v>
      </c>
      <c r="R24"/>
      <c r="U24"/>
      <c r="V24"/>
      <c r="W24"/>
      <c r="AA24"/>
      <c r="AB24"/>
      <c r="AC24"/>
    </row>
    <row r="25" spans="2:30" x14ac:dyDescent="0.3">
      <c r="B25" s="6" t="s">
        <v>136</v>
      </c>
      <c r="C25" s="7">
        <v>1</v>
      </c>
      <c r="I25"/>
      <c r="J25"/>
      <c r="K25"/>
      <c r="P25" s="6" t="s">
        <v>35</v>
      </c>
      <c r="Q25" s="9">
        <v>32.307692307692307</v>
      </c>
      <c r="R25"/>
      <c r="U25"/>
      <c r="V25"/>
      <c r="W25"/>
      <c r="AA25"/>
      <c r="AB25"/>
      <c r="AC25"/>
    </row>
    <row r="26" spans="2:30" x14ac:dyDescent="0.3">
      <c r="I26" s="12"/>
      <c r="J26" s="12"/>
      <c r="K26" s="3"/>
      <c r="L26" s="12"/>
      <c r="M26" s="12"/>
      <c r="P26" s="6" t="s">
        <v>136</v>
      </c>
      <c r="Q26" s="9">
        <v>29.14</v>
      </c>
      <c r="R26"/>
      <c r="U26"/>
      <c r="V26"/>
      <c r="W26"/>
      <c r="AA26"/>
      <c r="AB26"/>
      <c r="AC26"/>
    </row>
    <row r="27" spans="2:30" x14ac:dyDescent="0.3">
      <c r="B27" s="12"/>
      <c r="C27" s="12"/>
      <c r="D27" s="8"/>
      <c r="E27" s="8"/>
      <c r="F27" s="8"/>
      <c r="I27" s="5" t="s">
        <v>135</v>
      </c>
      <c r="J27" s="6" t="s">
        <v>142</v>
      </c>
      <c r="K27"/>
      <c r="P27"/>
      <c r="Q27"/>
      <c r="U27"/>
      <c r="V27"/>
      <c r="W27"/>
      <c r="AA27"/>
      <c r="AB27"/>
      <c r="AC27"/>
    </row>
    <row r="28" spans="2:30" x14ac:dyDescent="0.3">
      <c r="B28" s="6" t="s">
        <v>146</v>
      </c>
      <c r="C28" s="6" t="s">
        <v>137</v>
      </c>
      <c r="I28" s="6" t="s">
        <v>132</v>
      </c>
      <c r="J28" s="16">
        <v>2.9879518072289155</v>
      </c>
      <c r="K28"/>
      <c r="P28"/>
      <c r="Q28"/>
      <c r="U28"/>
      <c r="V28"/>
      <c r="W28"/>
      <c r="AA28"/>
      <c r="AB28"/>
      <c r="AC28"/>
    </row>
    <row r="29" spans="2:30" x14ac:dyDescent="0.3">
      <c r="B29" s="17">
        <v>208747</v>
      </c>
      <c r="C29" s="17">
        <v>200</v>
      </c>
      <c r="E29" s="21">
        <f>GETPIVOTDATA("Sum of TrainingCost",$B$28)/GETPIVOTDATA("Count of EmployeeID",$B$28)</f>
        <v>1043.7349999999999</v>
      </c>
      <c r="I29" s="6" t="s">
        <v>128</v>
      </c>
      <c r="J29" s="16">
        <v>2.9777777777777779</v>
      </c>
      <c r="K29"/>
      <c r="P29"/>
      <c r="Q29"/>
      <c r="U29"/>
      <c r="V29"/>
      <c r="W29"/>
      <c r="X29"/>
      <c r="Y29"/>
      <c r="Z29"/>
      <c r="AA29"/>
      <c r="AB29"/>
      <c r="AC29"/>
      <c r="AD29"/>
    </row>
    <row r="30" spans="2:30" x14ac:dyDescent="0.3">
      <c r="I30" s="6" t="s">
        <v>129</v>
      </c>
      <c r="J30" s="16">
        <v>2.7407407407407409</v>
      </c>
      <c r="K30"/>
      <c r="P30" s="3"/>
      <c r="Q30" s="3"/>
      <c r="R30" s="12"/>
      <c r="S30" s="12"/>
      <c r="T30" s="18"/>
      <c r="U30" s="12"/>
      <c r="V30" s="12"/>
      <c r="W30" s="18"/>
      <c r="X30"/>
      <c r="Y30"/>
      <c r="Z30"/>
      <c r="AA30"/>
      <c r="AB30"/>
      <c r="AC30"/>
      <c r="AD30"/>
    </row>
    <row r="31" spans="2:30" x14ac:dyDescent="0.3">
      <c r="B31" s="12"/>
      <c r="C31" s="12"/>
      <c r="D31" s="12"/>
      <c r="E31" s="12"/>
      <c r="F31" s="12"/>
      <c r="I31" s="6" t="s">
        <v>136</v>
      </c>
      <c r="J31" s="17">
        <v>2.95</v>
      </c>
      <c r="K31"/>
      <c r="U31"/>
      <c r="V31"/>
      <c r="W31"/>
      <c r="X31"/>
      <c r="Y31"/>
      <c r="Z31"/>
      <c r="AA31"/>
      <c r="AB31"/>
      <c r="AC31"/>
      <c r="AD31"/>
    </row>
    <row r="32" spans="2:30" x14ac:dyDescent="0.3">
      <c r="B32" s="5" t="s">
        <v>135</v>
      </c>
      <c r="C32" s="6" t="s">
        <v>140</v>
      </c>
      <c r="I32" s="12"/>
      <c r="J32" s="12"/>
      <c r="K32" s="3"/>
      <c r="L32" s="12"/>
      <c r="M32" s="12"/>
      <c r="P32" s="5" t="s">
        <v>137</v>
      </c>
      <c r="Q32" s="5" t="s">
        <v>203</v>
      </c>
      <c r="X32"/>
      <c r="Y32"/>
      <c r="Z32"/>
      <c r="AA32"/>
      <c r="AB32"/>
      <c r="AC32"/>
      <c r="AD32"/>
    </row>
    <row r="33" spans="2:30" x14ac:dyDescent="0.3">
      <c r="B33" s="6" t="s">
        <v>17</v>
      </c>
      <c r="C33" s="9">
        <v>9.0740740740740744</v>
      </c>
      <c r="K33"/>
      <c r="P33" s="5" t="s">
        <v>135</v>
      </c>
      <c r="Q33" s="6" t="s">
        <v>27</v>
      </c>
      <c r="R33" s="6" t="s">
        <v>23</v>
      </c>
      <c r="S33" s="6" t="s">
        <v>35</v>
      </c>
      <c r="T33" s="6" t="s">
        <v>32</v>
      </c>
      <c r="U33" s="6" t="s">
        <v>17</v>
      </c>
      <c r="V33" s="6" t="s">
        <v>20</v>
      </c>
      <c r="W33" s="6" t="s">
        <v>136</v>
      </c>
      <c r="X33"/>
      <c r="Y33"/>
      <c r="Z33"/>
      <c r="AA33"/>
      <c r="AB33"/>
      <c r="AC33"/>
      <c r="AD33"/>
    </row>
    <row r="34" spans="2:30" x14ac:dyDescent="0.3">
      <c r="B34" s="6" t="s">
        <v>32</v>
      </c>
      <c r="C34" s="9">
        <v>9.6410256410256405</v>
      </c>
      <c r="I34" s="5" t="s">
        <v>135</v>
      </c>
      <c r="J34" s="6" t="s">
        <v>148</v>
      </c>
      <c r="K34"/>
      <c r="L34" s="6" t="s">
        <v>135</v>
      </c>
      <c r="M34" s="6" t="s">
        <v>148</v>
      </c>
      <c r="P34" s="6" t="s">
        <v>151</v>
      </c>
      <c r="Q34" s="17"/>
      <c r="R34" s="17"/>
      <c r="S34" s="17">
        <v>1</v>
      </c>
      <c r="T34" s="17"/>
      <c r="U34" s="17"/>
      <c r="V34" s="17"/>
      <c r="W34" s="17">
        <v>1</v>
      </c>
      <c r="X34"/>
      <c r="Y34"/>
      <c r="Z34"/>
      <c r="AA34"/>
      <c r="AB34"/>
      <c r="AC34"/>
      <c r="AD34"/>
    </row>
    <row r="35" spans="2:30" x14ac:dyDescent="0.3">
      <c r="B35" s="6" t="s">
        <v>23</v>
      </c>
      <c r="C35" s="9">
        <v>11.030303030303031</v>
      </c>
      <c r="I35" s="6" t="s">
        <v>27</v>
      </c>
      <c r="J35" s="9">
        <v>10520.258064516129</v>
      </c>
      <c r="K35"/>
      <c r="L35" s="6" t="s">
        <v>27</v>
      </c>
      <c r="M35" s="9">
        <f>GETPIVOTDATA("Salary",$I$34,"Department","Finance")</f>
        <v>10520.258064516129</v>
      </c>
      <c r="P35" s="6" t="s">
        <v>152</v>
      </c>
      <c r="Q35" s="17"/>
      <c r="R35" s="17">
        <v>1</v>
      </c>
      <c r="S35" s="17"/>
      <c r="T35" s="17">
        <v>1</v>
      </c>
      <c r="U35" s="17"/>
      <c r="V35" s="17"/>
      <c r="W35" s="17">
        <v>2</v>
      </c>
      <c r="X35"/>
      <c r="Y35"/>
      <c r="Z35"/>
      <c r="AA35"/>
      <c r="AB35"/>
      <c r="AC35"/>
      <c r="AD35"/>
    </row>
    <row r="36" spans="2:30" x14ac:dyDescent="0.3">
      <c r="B36" s="6" t="s">
        <v>20</v>
      </c>
      <c r="C36" s="9">
        <v>11.5</v>
      </c>
      <c r="I36" s="6" t="s">
        <v>35</v>
      </c>
      <c r="J36" s="9">
        <v>10206.923076923076</v>
      </c>
      <c r="K36"/>
      <c r="L36" s="6" t="s">
        <v>35</v>
      </c>
      <c r="M36" s="9">
        <f>GETPIVOTDATA("Salary",$I$34,"Department","IT")</f>
        <v>10206.923076923076</v>
      </c>
      <c r="P36" s="6" t="s">
        <v>153</v>
      </c>
      <c r="Q36" s="17"/>
      <c r="R36" s="17"/>
      <c r="S36" s="17">
        <v>1</v>
      </c>
      <c r="T36" s="17"/>
      <c r="U36" s="17">
        <v>2</v>
      </c>
      <c r="V36" s="17">
        <v>2</v>
      </c>
      <c r="W36" s="17">
        <v>5</v>
      </c>
      <c r="X36"/>
      <c r="Y36"/>
      <c r="Z36"/>
      <c r="AA36"/>
      <c r="AB36"/>
      <c r="AC36"/>
      <c r="AD36"/>
    </row>
    <row r="37" spans="2:30" x14ac:dyDescent="0.3">
      <c r="B37" s="6" t="s">
        <v>27</v>
      </c>
      <c r="C37" s="9">
        <v>11.709677419354838</v>
      </c>
      <c r="I37" s="6" t="s">
        <v>17</v>
      </c>
      <c r="J37" s="9">
        <v>9714.5555555555547</v>
      </c>
      <c r="K37"/>
      <c r="L37" s="6" t="s">
        <v>17</v>
      </c>
      <c r="M37" s="9">
        <f>GETPIVOTDATA("Salary",$I$34,"Department","Operations")</f>
        <v>9714.5555555555547</v>
      </c>
      <c r="P37" s="6" t="s">
        <v>154</v>
      </c>
      <c r="Q37" s="17"/>
      <c r="R37" s="17">
        <v>1</v>
      </c>
      <c r="S37" s="17"/>
      <c r="T37" s="17"/>
      <c r="U37" s="17">
        <v>2</v>
      </c>
      <c r="V37" s="17"/>
      <c r="W37" s="17">
        <v>3</v>
      </c>
      <c r="X37"/>
      <c r="Y37"/>
      <c r="Z37"/>
      <c r="AA37"/>
      <c r="AB37"/>
      <c r="AC37"/>
      <c r="AD37"/>
    </row>
    <row r="38" spans="2:30" x14ac:dyDescent="0.3">
      <c r="B38" s="6" t="s">
        <v>35</v>
      </c>
      <c r="C38" s="9">
        <v>11.76923076923077</v>
      </c>
      <c r="I38" s="6" t="s">
        <v>32</v>
      </c>
      <c r="J38" s="9">
        <v>9669.3589743589746</v>
      </c>
      <c r="K38"/>
      <c r="L38" s="6" t="s">
        <v>32</v>
      </c>
      <c r="M38" s="9">
        <f>GETPIVOTDATA("Salary",$I$34,"Department","Marketing")</f>
        <v>9669.3589743589746</v>
      </c>
      <c r="P38" s="6" t="s">
        <v>155</v>
      </c>
      <c r="Q38" s="17">
        <v>2</v>
      </c>
      <c r="R38" s="17"/>
      <c r="S38" s="17">
        <v>1</v>
      </c>
      <c r="T38" s="17"/>
      <c r="U38" s="17">
        <v>1</v>
      </c>
      <c r="V38" s="17">
        <v>1</v>
      </c>
      <c r="W38" s="17">
        <v>5</v>
      </c>
      <c r="X38"/>
      <c r="Y38"/>
      <c r="Z38"/>
      <c r="AA38"/>
      <c r="AB38"/>
      <c r="AC38"/>
      <c r="AD38"/>
    </row>
    <row r="39" spans="2:30" x14ac:dyDescent="0.3">
      <c r="B39" s="6" t="s">
        <v>136</v>
      </c>
      <c r="C39" s="9">
        <v>10.8</v>
      </c>
      <c r="I39" s="6" t="s">
        <v>20</v>
      </c>
      <c r="J39" s="9">
        <v>8950.295454545454</v>
      </c>
      <c r="K39"/>
      <c r="L39" s="6" t="s">
        <v>20</v>
      </c>
      <c r="M39" s="9">
        <f>GETPIVOTDATA("Salary",$I$34,"Department","Sales")</f>
        <v>8950.295454545454</v>
      </c>
      <c r="P39" s="6" t="s">
        <v>156</v>
      </c>
      <c r="Q39" s="17">
        <v>2</v>
      </c>
      <c r="R39" s="17">
        <v>4</v>
      </c>
      <c r="S39" s="17">
        <v>1</v>
      </c>
      <c r="T39" s="17">
        <v>3</v>
      </c>
      <c r="U39" s="17">
        <v>3</v>
      </c>
      <c r="V39" s="17">
        <v>4</v>
      </c>
      <c r="W39" s="17">
        <v>17</v>
      </c>
    </row>
    <row r="40" spans="2:30" x14ac:dyDescent="0.3">
      <c r="B40" s="12"/>
      <c r="C40" s="12"/>
      <c r="D40" s="12"/>
      <c r="E40" s="12"/>
      <c r="F40" s="12"/>
      <c r="I40" s="6" t="s">
        <v>23</v>
      </c>
      <c r="J40" s="9">
        <v>8840.9090909090901</v>
      </c>
      <c r="L40" s="6" t="s">
        <v>23</v>
      </c>
      <c r="M40" s="9">
        <f>GETPIVOTDATA("Salary",$I$34,"Department","HR")</f>
        <v>8840.9090909090901</v>
      </c>
      <c r="P40" s="6" t="s">
        <v>157</v>
      </c>
      <c r="Q40" s="17"/>
      <c r="R40" s="17"/>
      <c r="S40" s="17">
        <v>1</v>
      </c>
      <c r="T40" s="17">
        <v>1</v>
      </c>
      <c r="U40" s="17"/>
      <c r="V40" s="17">
        <v>3</v>
      </c>
      <c r="W40" s="17">
        <v>5</v>
      </c>
    </row>
    <row r="41" spans="2:30" x14ac:dyDescent="0.3">
      <c r="B41" s="5" t="s">
        <v>124</v>
      </c>
      <c r="C41" s="6" t="s">
        <v>128</v>
      </c>
      <c r="D41" s="5" t="s">
        <v>124</v>
      </c>
      <c r="E41" s="6" t="s">
        <v>128</v>
      </c>
      <c r="I41" s="6" t="s">
        <v>136</v>
      </c>
      <c r="J41" s="17">
        <v>9582.3449999999993</v>
      </c>
      <c r="K41"/>
      <c r="M41" s="9"/>
      <c r="P41" s="6" t="s">
        <v>136</v>
      </c>
      <c r="Q41" s="17">
        <v>4</v>
      </c>
      <c r="R41" s="17">
        <v>6</v>
      </c>
      <c r="S41" s="17">
        <v>5</v>
      </c>
      <c r="T41" s="17">
        <v>5</v>
      </c>
      <c r="U41" s="17">
        <v>8</v>
      </c>
      <c r="V41" s="17">
        <v>10</v>
      </c>
      <c r="W41" s="17">
        <v>38</v>
      </c>
    </row>
    <row r="42" spans="2:30" x14ac:dyDescent="0.3">
      <c r="E42"/>
      <c r="F42"/>
      <c r="I42"/>
      <c r="J42"/>
      <c r="K42"/>
      <c r="P42"/>
      <c r="Q42"/>
    </row>
    <row r="43" spans="2:30" x14ac:dyDescent="0.3">
      <c r="B43" s="5" t="s">
        <v>135</v>
      </c>
      <c r="C43" s="6" t="s">
        <v>150</v>
      </c>
      <c r="D43" s="5" t="s">
        <v>135</v>
      </c>
      <c r="E43" s="6" t="s">
        <v>150</v>
      </c>
      <c r="F43"/>
      <c r="I43" s="3"/>
      <c r="J43" s="3"/>
      <c r="K43" s="3"/>
      <c r="L43" s="3"/>
      <c r="M43" s="12"/>
      <c r="P43" s="20" t="s">
        <v>135</v>
      </c>
      <c r="Q43" s="20" t="s">
        <v>27</v>
      </c>
      <c r="R43" s="20" t="s">
        <v>23</v>
      </c>
      <c r="S43" s="20" t="s">
        <v>35</v>
      </c>
      <c r="T43" s="20" t="s">
        <v>32</v>
      </c>
      <c r="U43" s="20" t="s">
        <v>17</v>
      </c>
      <c r="V43" s="20" t="s">
        <v>20</v>
      </c>
    </row>
    <row r="44" spans="2:30" x14ac:dyDescent="0.3">
      <c r="B44" s="6" t="s">
        <v>20</v>
      </c>
      <c r="C44" s="9">
        <v>713</v>
      </c>
      <c r="D44" s="6" t="s">
        <v>27</v>
      </c>
      <c r="E44" s="9">
        <v>958.33333333333337</v>
      </c>
      <c r="F44"/>
      <c r="I44" s="5" t="s">
        <v>135</v>
      </c>
      <c r="J44" s="6" t="s">
        <v>158</v>
      </c>
      <c r="K44"/>
      <c r="L44" t="s">
        <v>135</v>
      </c>
      <c r="M44" s="6" t="s">
        <v>159</v>
      </c>
      <c r="P44" s="20" t="s">
        <v>151</v>
      </c>
      <c r="Q44" s="20"/>
      <c r="R44" s="20"/>
      <c r="S44" s="20">
        <f>GETPIVOTDATA("EmployeeID",$P$32,"Department","IT","Years (ExitDate)",2018)</f>
        <v>1</v>
      </c>
      <c r="T44" s="20"/>
      <c r="U44" s="20"/>
      <c r="V44" s="20"/>
    </row>
    <row r="45" spans="2:30" x14ac:dyDescent="0.3">
      <c r="B45" s="6" t="s">
        <v>27</v>
      </c>
      <c r="C45" s="9">
        <v>958.33333333333337</v>
      </c>
      <c r="D45" s="6" t="s">
        <v>23</v>
      </c>
      <c r="E45" s="9">
        <v>1345.5</v>
      </c>
      <c r="F45"/>
      <c r="I45" s="6" t="s">
        <v>27</v>
      </c>
      <c r="J45" s="9">
        <v>52.741935483870968</v>
      </c>
      <c r="K45"/>
      <c r="L45" t="s">
        <v>27</v>
      </c>
      <c r="M45" s="10">
        <f>GETPIVOTDATA("AttendanceMonths",$I$44,"Department","Finance")/12</f>
        <v>4.395161290322581</v>
      </c>
      <c r="P45" s="20" t="s">
        <v>152</v>
      </c>
      <c r="Q45" s="20"/>
      <c r="R45" s="20">
        <f>GETPIVOTDATA("EmployeeID",$P$32,"Department","HR","Years (ExitDate)",2019)</f>
        <v>1</v>
      </c>
      <c r="S45" s="20"/>
      <c r="T45" s="20">
        <f>GETPIVOTDATA("EmployeeID",$P$32,"Department","Marketing","Years (ExitDate)",2019)</f>
        <v>1</v>
      </c>
      <c r="U45" s="20"/>
      <c r="V45" s="20"/>
    </row>
    <row r="46" spans="2:30" x14ac:dyDescent="0.3">
      <c r="B46" s="6" t="s">
        <v>35</v>
      </c>
      <c r="C46" s="9">
        <v>1029</v>
      </c>
      <c r="D46" s="6" t="s">
        <v>35</v>
      </c>
      <c r="E46" s="9">
        <v>1029</v>
      </c>
      <c r="F46"/>
      <c r="I46" s="6" t="s">
        <v>35</v>
      </c>
      <c r="J46" s="9">
        <v>51.730769230769234</v>
      </c>
      <c r="K46"/>
      <c r="L46" t="s">
        <v>23</v>
      </c>
      <c r="M46" s="10">
        <f>GETPIVOTDATA("AttendanceMonths",$I$44,"Department","HR")/12</f>
        <v>3.6969696969696972</v>
      </c>
      <c r="P46" s="20" t="s">
        <v>153</v>
      </c>
      <c r="Q46" s="20"/>
      <c r="R46" s="20"/>
      <c r="S46" s="20">
        <f>GETPIVOTDATA("EmployeeID",$P$32,"Department","IT","Years (ExitDate)",2020)</f>
        <v>1</v>
      </c>
      <c r="T46" s="20"/>
      <c r="U46" s="20">
        <f>GETPIVOTDATA("EmployeeID",$P$32,"Department","Operations","Years (ExitDate)",2020)</f>
        <v>2</v>
      </c>
      <c r="V46" s="20">
        <f>GETPIVOTDATA("EmployeeID",$P$32,"Department","Sales","Years (ExitDate)",2020)</f>
        <v>2</v>
      </c>
    </row>
    <row r="47" spans="2:30" x14ac:dyDescent="0.3">
      <c r="B47" s="6" t="s">
        <v>32</v>
      </c>
      <c r="C47" s="9">
        <v>1088.5999999999999</v>
      </c>
      <c r="D47" s="6" t="s">
        <v>32</v>
      </c>
      <c r="E47" s="9">
        <v>1088.5999999999999</v>
      </c>
      <c r="F47"/>
      <c r="I47" s="6" t="s">
        <v>17</v>
      </c>
      <c r="J47" s="9">
        <v>47.74074074074074</v>
      </c>
      <c r="K47"/>
      <c r="L47" t="s">
        <v>35</v>
      </c>
      <c r="M47" s="10">
        <f>GETPIVOTDATA("AttendanceMonths",$I$44,"Department","IT")/12</f>
        <v>4.3108974358974361</v>
      </c>
      <c r="P47" s="20" t="s">
        <v>154</v>
      </c>
      <c r="Q47" s="20"/>
      <c r="R47" s="20">
        <f>GETPIVOTDATA("EmployeeID",$P$32,"Department","HR","Years (ExitDate)",2021)</f>
        <v>1</v>
      </c>
      <c r="S47" s="20"/>
      <c r="T47" s="20"/>
      <c r="U47" s="20">
        <f>GETPIVOTDATA("EmployeeID",$P$32,"Department","Operations","Years (ExitDate)",2021)</f>
        <v>2</v>
      </c>
      <c r="V47" s="20"/>
    </row>
    <row r="48" spans="2:30" x14ac:dyDescent="0.3">
      <c r="B48" s="6" t="s">
        <v>17</v>
      </c>
      <c r="C48" s="9">
        <v>1115</v>
      </c>
      <c r="D48" s="6" t="s">
        <v>17</v>
      </c>
      <c r="E48" s="9">
        <v>1115</v>
      </c>
      <c r="F48"/>
      <c r="I48" s="6" t="s">
        <v>32</v>
      </c>
      <c r="J48" s="9">
        <v>47.256410256410255</v>
      </c>
      <c r="K48"/>
      <c r="L48" t="s">
        <v>32</v>
      </c>
      <c r="M48" s="10">
        <f>GETPIVOTDATA("AttendanceMonths",$I$44,"Department","Marketing")/12</f>
        <v>3.9380341880341878</v>
      </c>
      <c r="N48"/>
      <c r="O48"/>
      <c r="P48" s="20" t="s">
        <v>155</v>
      </c>
      <c r="Q48" s="20">
        <f>GETPIVOTDATA("EmployeeID",$P$32,"Department","Finance","Years (ExitDate)",2022)</f>
        <v>2</v>
      </c>
      <c r="R48" s="20"/>
      <c r="S48" s="20">
        <f>GETPIVOTDATA("EmployeeID",$P$32,"Department","IT","Years (ExitDate)",2022)</f>
        <v>1</v>
      </c>
      <c r="T48" s="20"/>
      <c r="U48" s="20">
        <f>GETPIVOTDATA("EmployeeID",$P$32,"Department","Operations","Years (ExitDate)",2022)</f>
        <v>1</v>
      </c>
      <c r="V48" s="20">
        <f>GETPIVOTDATA("EmployeeID",$P$32,"Department","Sales","Years (ExitDate)",2022)</f>
        <v>1</v>
      </c>
    </row>
    <row r="49" spans="2:22" x14ac:dyDescent="0.3">
      <c r="B49" s="6" t="s">
        <v>23</v>
      </c>
      <c r="C49" s="9">
        <v>1345.5</v>
      </c>
      <c r="D49" s="6" t="s">
        <v>20</v>
      </c>
      <c r="E49" s="9">
        <v>713</v>
      </c>
      <c r="F49"/>
      <c r="I49" s="6" t="s">
        <v>20</v>
      </c>
      <c r="J49" s="9">
        <v>45.704545454545453</v>
      </c>
      <c r="L49" t="s">
        <v>17</v>
      </c>
      <c r="M49" s="10">
        <f>GETPIVOTDATA("AttendanceMonths",$I$44,"Department","Operations")/12</f>
        <v>3.9783950617283952</v>
      </c>
      <c r="N49"/>
      <c r="O49"/>
      <c r="P49" s="20" t="s">
        <v>156</v>
      </c>
      <c r="Q49" s="20">
        <f>GETPIVOTDATA("EmployeeID",$P$32,"Department","Finance","Years (ExitDate)",2023)</f>
        <v>2</v>
      </c>
      <c r="R49" s="20">
        <f>GETPIVOTDATA("EmployeeID",$P$32,"Department","HR","Years (ExitDate)",2023)</f>
        <v>4</v>
      </c>
      <c r="S49" s="20">
        <f>GETPIVOTDATA("EmployeeID",$P$32,"Department","IT","Years (ExitDate)",2023)</f>
        <v>1</v>
      </c>
      <c r="T49" s="20">
        <f>GETPIVOTDATA("EmployeeID",$P$32,"Department","Marketing","Years (ExitDate)",2023)</f>
        <v>3</v>
      </c>
      <c r="U49" s="20">
        <f>GETPIVOTDATA("EmployeeID",$P$32,"Department","Operations","Years (ExitDate)",2023)</f>
        <v>3</v>
      </c>
      <c r="V49" s="20">
        <f>GETPIVOTDATA("EmployeeID",$P$32,"Department","Sales","Years (ExitDate)",2023)</f>
        <v>4</v>
      </c>
    </row>
    <row r="50" spans="2:22" x14ac:dyDescent="0.3">
      <c r="B50" s="6" t="s">
        <v>136</v>
      </c>
      <c r="C50" s="9">
        <v>961.48648648648646</v>
      </c>
      <c r="D50" s="6" t="s">
        <v>136</v>
      </c>
      <c r="E50" s="9">
        <v>961.48648648648646</v>
      </c>
      <c r="F50"/>
      <c r="I50" s="6" t="s">
        <v>23</v>
      </c>
      <c r="J50" s="9">
        <v>44.363636363636367</v>
      </c>
      <c r="L50" s="19" t="s">
        <v>20</v>
      </c>
      <c r="M50" s="10">
        <f>GETPIVOTDATA("AttendanceMonths",$I$44,"Department","Sales")/12</f>
        <v>3.8087121212121211</v>
      </c>
      <c r="N50"/>
      <c r="O50"/>
      <c r="P50" s="20" t="s">
        <v>157</v>
      </c>
      <c r="Q50" s="20"/>
      <c r="R50" s="20"/>
      <c r="S50" s="20">
        <f>GETPIVOTDATA("EmployeeID",$P$32,"Department","IT","Years (ExitDate)",2024)</f>
        <v>1</v>
      </c>
      <c r="T50" s="20">
        <f>GETPIVOTDATA("EmployeeID",$P$32,"Department","Marketing","Years (ExitDate)",2024)</f>
        <v>1</v>
      </c>
      <c r="U50" s="20"/>
      <c r="V50" s="20">
        <f>GETPIVOTDATA("EmployeeID",$P$32,"Department","Sales","Years (ExitDate)",2024)</f>
        <v>3</v>
      </c>
    </row>
    <row r="51" spans="2:22" x14ac:dyDescent="0.3">
      <c r="B51"/>
      <c r="C51"/>
      <c r="D51"/>
      <c r="E51"/>
      <c r="F51"/>
      <c r="I51" s="6" t="s">
        <v>136</v>
      </c>
      <c r="J51" s="17">
        <v>47.935000000000002</v>
      </c>
      <c r="N51"/>
      <c r="O51"/>
    </row>
    <row r="52" spans="2:22" x14ac:dyDescent="0.3">
      <c r="B52" s="3"/>
      <c r="C52" s="3"/>
      <c r="D52" s="3"/>
      <c r="E52" s="12"/>
      <c r="F52" s="18"/>
      <c r="N52"/>
      <c r="O52"/>
    </row>
    <row r="53" spans="2:22" x14ac:dyDescent="0.3">
      <c r="B53" s="5" t="s">
        <v>135</v>
      </c>
      <c r="C53" s="6" t="s">
        <v>141</v>
      </c>
      <c r="D53"/>
      <c r="N53"/>
      <c r="O53"/>
    </row>
    <row r="54" spans="2:22" x14ac:dyDescent="0.3">
      <c r="B54" s="6" t="s">
        <v>128</v>
      </c>
      <c r="C54" s="9">
        <v>30.648648648648649</v>
      </c>
      <c r="D54"/>
      <c r="N54"/>
      <c r="O54"/>
    </row>
    <row r="55" spans="2:22" x14ac:dyDescent="0.3">
      <c r="B55" s="6" t="s">
        <v>133</v>
      </c>
      <c r="C55" s="9">
        <v>30.40909090909091</v>
      </c>
      <c r="D55"/>
    </row>
    <row r="56" spans="2:22" x14ac:dyDescent="0.3">
      <c r="B56" s="6" t="s">
        <v>129</v>
      </c>
      <c r="C56" s="9">
        <v>26.906666666666666</v>
      </c>
      <c r="D56"/>
    </row>
    <row r="57" spans="2:22" x14ac:dyDescent="0.3">
      <c r="B57" s="6" t="s">
        <v>136</v>
      </c>
      <c r="C57" s="17">
        <v>29.14</v>
      </c>
      <c r="D57"/>
    </row>
    <row r="58" spans="2:22" x14ac:dyDescent="0.3">
      <c r="B58"/>
      <c r="C58"/>
      <c r="D58"/>
      <c r="E58"/>
      <c r="F58"/>
      <c r="I58"/>
      <c r="J58"/>
      <c r="Q58"/>
    </row>
    <row r="59" spans="2:22" x14ac:dyDescent="0.3">
      <c r="B59"/>
      <c r="C59"/>
      <c r="D59"/>
      <c r="E59"/>
      <c r="F59"/>
      <c r="I59"/>
      <c r="J59"/>
      <c r="P59"/>
      <c r="Q59"/>
    </row>
    <row r="60" spans="2:22" x14ac:dyDescent="0.3">
      <c r="B60"/>
      <c r="C60"/>
      <c r="D60"/>
      <c r="E60"/>
      <c r="F60"/>
      <c r="I60"/>
      <c r="J60"/>
      <c r="P60"/>
      <c r="Q60"/>
    </row>
    <row r="61" spans="2:22" x14ac:dyDescent="0.3">
      <c r="B61"/>
      <c r="C61"/>
      <c r="D61"/>
      <c r="E61"/>
      <c r="I61"/>
      <c r="J61"/>
      <c r="P61"/>
      <c r="Q61"/>
    </row>
    <row r="62" spans="2:22" x14ac:dyDescent="0.3">
      <c r="B62"/>
      <c r="C62"/>
      <c r="D62"/>
      <c r="E62"/>
      <c r="I62"/>
      <c r="J62"/>
      <c r="P62"/>
      <c r="Q62"/>
    </row>
    <row r="63" spans="2:22" x14ac:dyDescent="0.3">
      <c r="B63"/>
      <c r="C63"/>
      <c r="D63"/>
      <c r="E63"/>
      <c r="I63"/>
      <c r="J63"/>
      <c r="P63"/>
      <c r="Q63"/>
    </row>
    <row r="64" spans="2:22" x14ac:dyDescent="0.3">
      <c r="B64"/>
      <c r="C64"/>
      <c r="D64"/>
      <c r="E64"/>
      <c r="I64"/>
      <c r="J64"/>
      <c r="P64"/>
      <c r="Q64"/>
    </row>
    <row r="65" spans="2:17" x14ac:dyDescent="0.3">
      <c r="B65"/>
      <c r="C65"/>
      <c r="D65"/>
      <c r="E65"/>
      <c r="I65"/>
      <c r="J65"/>
      <c r="P65"/>
      <c r="Q65"/>
    </row>
    <row r="66" spans="2:17" x14ac:dyDescent="0.3">
      <c r="B66"/>
      <c r="C66"/>
      <c r="D66"/>
      <c r="E66"/>
      <c r="I66"/>
      <c r="J66"/>
      <c r="P66"/>
      <c r="Q66"/>
    </row>
    <row r="67" spans="2:17" x14ac:dyDescent="0.3">
      <c r="B67"/>
      <c r="C67"/>
      <c r="D67"/>
      <c r="E67"/>
      <c r="I67"/>
      <c r="J67"/>
      <c r="P67"/>
      <c r="Q67"/>
    </row>
    <row r="68" spans="2:17" x14ac:dyDescent="0.3">
      <c r="B68"/>
      <c r="C68"/>
      <c r="D68"/>
      <c r="E68"/>
      <c r="I68"/>
      <c r="J68"/>
      <c r="P68"/>
      <c r="Q68"/>
    </row>
    <row r="69" spans="2:17" x14ac:dyDescent="0.3">
      <c r="B69"/>
      <c r="I69"/>
      <c r="J69"/>
      <c r="P69"/>
      <c r="Q69"/>
    </row>
    <row r="70" spans="2:17" x14ac:dyDescent="0.3">
      <c r="B70"/>
      <c r="I70"/>
      <c r="J70"/>
      <c r="P70"/>
      <c r="Q70"/>
    </row>
    <row r="71" spans="2:17" x14ac:dyDescent="0.3">
      <c r="B71"/>
      <c r="I71"/>
      <c r="J71"/>
      <c r="P71"/>
      <c r="Q71"/>
    </row>
    <row r="72" spans="2:17" x14ac:dyDescent="0.3">
      <c r="B72"/>
      <c r="I72"/>
      <c r="J72"/>
      <c r="P72"/>
      <c r="Q72"/>
    </row>
    <row r="73" spans="2:17" x14ac:dyDescent="0.3">
      <c r="B73"/>
      <c r="I73"/>
      <c r="J73"/>
      <c r="P73"/>
      <c r="Q73"/>
    </row>
    <row r="74" spans="2:17" x14ac:dyDescent="0.3">
      <c r="B74"/>
      <c r="I74"/>
      <c r="J74"/>
      <c r="P74"/>
      <c r="Q74"/>
    </row>
    <row r="75" spans="2:17" x14ac:dyDescent="0.3">
      <c r="I75"/>
      <c r="J75"/>
      <c r="P75"/>
      <c r="Q75"/>
    </row>
    <row r="76" spans="2:17" x14ac:dyDescent="0.3">
      <c r="I76"/>
      <c r="J76"/>
      <c r="P76"/>
      <c r="Q76"/>
    </row>
    <row r="77" spans="2:17" x14ac:dyDescent="0.3">
      <c r="I77"/>
      <c r="J77"/>
      <c r="P77"/>
      <c r="Q77"/>
    </row>
    <row r="78" spans="2:17" x14ac:dyDescent="0.3">
      <c r="I78"/>
      <c r="J78"/>
      <c r="P78"/>
      <c r="Q78"/>
    </row>
    <row r="79" spans="2:17" x14ac:dyDescent="0.3">
      <c r="I79"/>
      <c r="J79"/>
      <c r="P79"/>
      <c r="Q79"/>
    </row>
    <row r="80" spans="2:17" x14ac:dyDescent="0.3">
      <c r="I80"/>
      <c r="J80"/>
      <c r="P80"/>
      <c r="Q80"/>
    </row>
    <row r="81" spans="9:17" x14ac:dyDescent="0.3">
      <c r="I81"/>
      <c r="J81"/>
      <c r="P81"/>
      <c r="Q81"/>
    </row>
    <row r="82" spans="9:17" x14ac:dyDescent="0.3">
      <c r="I82"/>
      <c r="J82"/>
      <c r="P82"/>
      <c r="Q82"/>
    </row>
    <row r="83" spans="9:17" x14ac:dyDescent="0.3">
      <c r="I83"/>
      <c r="J83"/>
      <c r="P83"/>
      <c r="Q83"/>
    </row>
    <row r="84" spans="9:17" x14ac:dyDescent="0.3">
      <c r="I84"/>
      <c r="J84"/>
      <c r="P84"/>
      <c r="Q84"/>
    </row>
    <row r="85" spans="9:17" x14ac:dyDescent="0.3">
      <c r="I85"/>
      <c r="J85"/>
      <c r="P85"/>
      <c r="Q85"/>
    </row>
    <row r="86" spans="9:17" x14ac:dyDescent="0.3">
      <c r="I86"/>
      <c r="J86"/>
      <c r="P86"/>
      <c r="Q86"/>
    </row>
    <row r="87" spans="9:17" x14ac:dyDescent="0.3">
      <c r="I87"/>
      <c r="J87"/>
      <c r="P87"/>
      <c r="Q87"/>
    </row>
    <row r="88" spans="9:17" x14ac:dyDescent="0.3">
      <c r="I88"/>
      <c r="J88"/>
      <c r="P88"/>
      <c r="Q88"/>
    </row>
    <row r="89" spans="9:17" x14ac:dyDescent="0.3">
      <c r="I89"/>
      <c r="J89"/>
      <c r="P89"/>
      <c r="Q89"/>
    </row>
    <row r="90" spans="9:17" x14ac:dyDescent="0.3">
      <c r="I90"/>
      <c r="J90"/>
      <c r="P90"/>
      <c r="Q90"/>
    </row>
    <row r="91" spans="9:17" x14ac:dyDescent="0.3">
      <c r="I91"/>
      <c r="J91"/>
      <c r="P91"/>
      <c r="Q91"/>
    </row>
    <row r="92" spans="9:17" x14ac:dyDescent="0.3">
      <c r="I92"/>
      <c r="J92"/>
      <c r="P92"/>
      <c r="Q92"/>
    </row>
    <row r="93" spans="9:17" x14ac:dyDescent="0.3">
      <c r="I93"/>
      <c r="J93"/>
      <c r="P93"/>
      <c r="Q93"/>
    </row>
    <row r="94" spans="9:17" x14ac:dyDescent="0.3">
      <c r="I94"/>
      <c r="J94"/>
      <c r="P94"/>
      <c r="Q94"/>
    </row>
    <row r="95" spans="9:17" x14ac:dyDescent="0.3">
      <c r="I95"/>
      <c r="J95"/>
      <c r="P95"/>
      <c r="Q95"/>
    </row>
    <row r="96" spans="9:17" x14ac:dyDescent="0.3">
      <c r="I96"/>
      <c r="J96"/>
      <c r="P96"/>
      <c r="Q96"/>
    </row>
    <row r="97" spans="9:17" x14ac:dyDescent="0.3">
      <c r="I97"/>
      <c r="J97"/>
      <c r="P97"/>
      <c r="Q97"/>
    </row>
    <row r="98" spans="9:17" x14ac:dyDescent="0.3">
      <c r="I98"/>
      <c r="J98"/>
      <c r="P98"/>
      <c r="Q98"/>
    </row>
    <row r="99" spans="9:17" x14ac:dyDescent="0.3">
      <c r="I99"/>
      <c r="J99"/>
      <c r="P99"/>
      <c r="Q99"/>
    </row>
    <row r="100" spans="9:17" x14ac:dyDescent="0.3">
      <c r="I100"/>
      <c r="J100"/>
      <c r="P100"/>
      <c r="Q100"/>
    </row>
    <row r="101" spans="9:17" x14ac:dyDescent="0.3">
      <c r="I101"/>
      <c r="J101"/>
      <c r="P101"/>
      <c r="Q101"/>
    </row>
    <row r="102" spans="9:17" x14ac:dyDescent="0.3">
      <c r="I102"/>
      <c r="J102"/>
      <c r="P102"/>
      <c r="Q102"/>
    </row>
    <row r="103" spans="9:17" x14ac:dyDescent="0.3">
      <c r="I103"/>
      <c r="J103"/>
      <c r="P103"/>
      <c r="Q103"/>
    </row>
    <row r="104" spans="9:17" x14ac:dyDescent="0.3">
      <c r="I104"/>
      <c r="J104"/>
      <c r="P104"/>
      <c r="Q104"/>
    </row>
    <row r="105" spans="9:17" x14ac:dyDescent="0.3">
      <c r="I105"/>
      <c r="J105"/>
      <c r="P105"/>
      <c r="Q105"/>
    </row>
    <row r="106" spans="9:17" x14ac:dyDescent="0.3">
      <c r="I106"/>
      <c r="J106"/>
      <c r="P106"/>
      <c r="Q106"/>
    </row>
    <row r="107" spans="9:17" x14ac:dyDescent="0.3">
      <c r="I107"/>
      <c r="J107"/>
      <c r="P107"/>
      <c r="Q107"/>
    </row>
    <row r="108" spans="9:17" x14ac:dyDescent="0.3">
      <c r="I108"/>
      <c r="J108"/>
      <c r="P108"/>
      <c r="Q108"/>
    </row>
    <row r="109" spans="9:17" x14ac:dyDescent="0.3">
      <c r="I109"/>
      <c r="J109"/>
      <c r="P109"/>
      <c r="Q109"/>
    </row>
    <row r="110" spans="9:17" x14ac:dyDescent="0.3">
      <c r="I110"/>
      <c r="J110"/>
      <c r="P110"/>
      <c r="Q110"/>
    </row>
    <row r="111" spans="9:17" x14ac:dyDescent="0.3">
      <c r="I111"/>
      <c r="J111"/>
      <c r="P111"/>
      <c r="Q111"/>
    </row>
    <row r="112" spans="9:17" x14ac:dyDescent="0.3">
      <c r="I112"/>
      <c r="J112"/>
      <c r="P112"/>
      <c r="Q112"/>
    </row>
    <row r="113" spans="9:17" x14ac:dyDescent="0.3">
      <c r="I113"/>
      <c r="J113"/>
      <c r="P113"/>
      <c r="Q113"/>
    </row>
    <row r="114" spans="9:17" x14ac:dyDescent="0.3">
      <c r="I114"/>
      <c r="J114"/>
      <c r="P114"/>
      <c r="Q114"/>
    </row>
    <row r="115" spans="9:17" x14ac:dyDescent="0.3">
      <c r="I115"/>
      <c r="J115"/>
      <c r="P115"/>
      <c r="Q115"/>
    </row>
    <row r="116" spans="9:17" x14ac:dyDescent="0.3">
      <c r="I116"/>
      <c r="J116"/>
      <c r="P116"/>
      <c r="Q116"/>
    </row>
    <row r="117" spans="9:17" x14ac:dyDescent="0.3">
      <c r="I117"/>
      <c r="J117"/>
      <c r="P117"/>
      <c r="Q117"/>
    </row>
    <row r="118" spans="9:17" x14ac:dyDescent="0.3">
      <c r="I118"/>
      <c r="J118"/>
      <c r="P118"/>
      <c r="Q118"/>
    </row>
    <row r="119" spans="9:17" x14ac:dyDescent="0.3">
      <c r="I119"/>
      <c r="J119"/>
      <c r="P119"/>
      <c r="Q119"/>
    </row>
    <row r="120" spans="9:17" x14ac:dyDescent="0.3">
      <c r="I120"/>
      <c r="J120"/>
      <c r="P120"/>
      <c r="Q120"/>
    </row>
    <row r="121" spans="9:17" x14ac:dyDescent="0.3">
      <c r="I121"/>
      <c r="J121"/>
      <c r="P121"/>
      <c r="Q121"/>
    </row>
    <row r="122" spans="9:17" x14ac:dyDescent="0.3">
      <c r="I122"/>
      <c r="J122"/>
      <c r="P122"/>
      <c r="Q122"/>
    </row>
    <row r="123" spans="9:17" x14ac:dyDescent="0.3">
      <c r="I123"/>
      <c r="J123"/>
      <c r="P123"/>
      <c r="Q123"/>
    </row>
    <row r="124" spans="9:17" x14ac:dyDescent="0.3">
      <c r="I124"/>
      <c r="J124"/>
      <c r="P124"/>
      <c r="Q124"/>
    </row>
    <row r="125" spans="9:17" x14ac:dyDescent="0.3">
      <c r="I125"/>
      <c r="J125"/>
      <c r="P125"/>
      <c r="Q125"/>
    </row>
    <row r="126" spans="9:17" x14ac:dyDescent="0.3">
      <c r="I126"/>
      <c r="J126"/>
      <c r="P126"/>
      <c r="Q126"/>
    </row>
    <row r="127" spans="9:17" x14ac:dyDescent="0.3">
      <c r="I127"/>
      <c r="J127"/>
      <c r="P127"/>
      <c r="Q127"/>
    </row>
    <row r="128" spans="9:17" x14ac:dyDescent="0.3">
      <c r="I128"/>
      <c r="J128"/>
      <c r="P128"/>
      <c r="Q128"/>
    </row>
    <row r="129" spans="9:17" x14ac:dyDescent="0.3">
      <c r="I129"/>
      <c r="J129"/>
      <c r="P129"/>
      <c r="Q129"/>
    </row>
    <row r="130" spans="9:17" x14ac:dyDescent="0.3">
      <c r="I130"/>
      <c r="J130"/>
      <c r="P130"/>
      <c r="Q130"/>
    </row>
    <row r="131" spans="9:17" x14ac:dyDescent="0.3">
      <c r="I131"/>
      <c r="J131"/>
      <c r="P131"/>
      <c r="Q131"/>
    </row>
    <row r="132" spans="9:17" x14ac:dyDescent="0.3">
      <c r="I132"/>
      <c r="J132"/>
      <c r="P132"/>
      <c r="Q132"/>
    </row>
    <row r="133" spans="9:17" x14ac:dyDescent="0.3">
      <c r="I133"/>
      <c r="J133"/>
      <c r="P133"/>
      <c r="Q133"/>
    </row>
    <row r="134" spans="9:17" x14ac:dyDescent="0.3">
      <c r="I134"/>
      <c r="J134"/>
      <c r="P134"/>
      <c r="Q134"/>
    </row>
    <row r="135" spans="9:17" x14ac:dyDescent="0.3">
      <c r="I135"/>
      <c r="J135"/>
      <c r="P135"/>
      <c r="Q135"/>
    </row>
    <row r="136" spans="9:17" x14ac:dyDescent="0.3">
      <c r="I136"/>
      <c r="J136"/>
      <c r="P136"/>
      <c r="Q136"/>
    </row>
    <row r="137" spans="9:17" x14ac:dyDescent="0.3">
      <c r="I137"/>
      <c r="J137"/>
      <c r="P137"/>
      <c r="Q137"/>
    </row>
    <row r="138" spans="9:17" x14ac:dyDescent="0.3">
      <c r="I138"/>
      <c r="J138"/>
      <c r="P138"/>
      <c r="Q138"/>
    </row>
    <row r="139" spans="9:17" x14ac:dyDescent="0.3">
      <c r="I139"/>
      <c r="J139"/>
      <c r="P139"/>
      <c r="Q139"/>
    </row>
    <row r="140" spans="9:17" x14ac:dyDescent="0.3">
      <c r="I140"/>
      <c r="J140"/>
      <c r="P140"/>
      <c r="Q140"/>
    </row>
    <row r="141" spans="9:17" x14ac:dyDescent="0.3">
      <c r="I141"/>
      <c r="J141"/>
      <c r="P141"/>
      <c r="Q141"/>
    </row>
    <row r="142" spans="9:17" x14ac:dyDescent="0.3">
      <c r="I142"/>
      <c r="J142"/>
      <c r="P142"/>
      <c r="Q142"/>
    </row>
    <row r="143" spans="9:17" x14ac:dyDescent="0.3">
      <c r="I143"/>
      <c r="J143"/>
      <c r="P143"/>
      <c r="Q143"/>
    </row>
    <row r="144" spans="9:17" x14ac:dyDescent="0.3">
      <c r="I144"/>
      <c r="J144"/>
      <c r="P144"/>
      <c r="Q144"/>
    </row>
    <row r="145" spans="9:17" x14ac:dyDescent="0.3">
      <c r="I145"/>
      <c r="J145"/>
      <c r="P145"/>
      <c r="Q145"/>
    </row>
    <row r="146" spans="9:17" x14ac:dyDescent="0.3">
      <c r="I146"/>
      <c r="J146"/>
      <c r="P146"/>
      <c r="Q146"/>
    </row>
    <row r="147" spans="9:17" x14ac:dyDescent="0.3">
      <c r="I147"/>
      <c r="J147"/>
      <c r="P147"/>
      <c r="Q147"/>
    </row>
    <row r="148" spans="9:17" x14ac:dyDescent="0.3">
      <c r="I148"/>
      <c r="J148"/>
      <c r="P148"/>
      <c r="Q148"/>
    </row>
    <row r="149" spans="9:17" x14ac:dyDescent="0.3">
      <c r="I149"/>
      <c r="J149"/>
      <c r="P149"/>
      <c r="Q149"/>
    </row>
    <row r="150" spans="9:17" x14ac:dyDescent="0.3">
      <c r="I150"/>
      <c r="J150"/>
      <c r="P150"/>
      <c r="Q150"/>
    </row>
    <row r="151" spans="9:17" x14ac:dyDescent="0.3">
      <c r="I151"/>
      <c r="J151"/>
      <c r="P151"/>
      <c r="Q151"/>
    </row>
    <row r="152" spans="9:17" x14ac:dyDescent="0.3">
      <c r="I152"/>
      <c r="J152"/>
      <c r="P152"/>
      <c r="Q152"/>
    </row>
    <row r="153" spans="9:17" x14ac:dyDescent="0.3">
      <c r="I153"/>
      <c r="J153"/>
      <c r="P153"/>
      <c r="Q153"/>
    </row>
    <row r="154" spans="9:17" x14ac:dyDescent="0.3">
      <c r="I154"/>
      <c r="J154"/>
      <c r="P154"/>
      <c r="Q154"/>
    </row>
    <row r="155" spans="9:17" x14ac:dyDescent="0.3">
      <c r="I155"/>
      <c r="J155"/>
      <c r="P155"/>
      <c r="Q155"/>
    </row>
    <row r="156" spans="9:17" x14ac:dyDescent="0.3">
      <c r="I156"/>
      <c r="J156"/>
      <c r="P156"/>
      <c r="Q156"/>
    </row>
    <row r="157" spans="9:17" x14ac:dyDescent="0.3">
      <c r="I157"/>
      <c r="J157"/>
      <c r="P157"/>
      <c r="Q157"/>
    </row>
    <row r="158" spans="9:17" x14ac:dyDescent="0.3">
      <c r="I158"/>
      <c r="J158"/>
      <c r="P158"/>
      <c r="Q158"/>
    </row>
    <row r="159" spans="9:17" x14ac:dyDescent="0.3">
      <c r="I159"/>
      <c r="J159"/>
      <c r="P159"/>
      <c r="Q159"/>
    </row>
    <row r="160" spans="9:17" x14ac:dyDescent="0.3">
      <c r="I160"/>
      <c r="J160"/>
      <c r="P160"/>
      <c r="Q160"/>
    </row>
    <row r="161" spans="9:17" x14ac:dyDescent="0.3">
      <c r="I161"/>
      <c r="J161"/>
      <c r="P161"/>
      <c r="Q161"/>
    </row>
    <row r="162" spans="9:17" x14ac:dyDescent="0.3">
      <c r="I162"/>
      <c r="J162"/>
      <c r="P162"/>
      <c r="Q162"/>
    </row>
    <row r="163" spans="9:17" x14ac:dyDescent="0.3">
      <c r="I163"/>
      <c r="J163"/>
      <c r="P163"/>
      <c r="Q163"/>
    </row>
    <row r="164" spans="9:17" x14ac:dyDescent="0.3">
      <c r="I164"/>
      <c r="J164"/>
      <c r="P164"/>
      <c r="Q164"/>
    </row>
    <row r="165" spans="9:17" x14ac:dyDescent="0.3">
      <c r="I165"/>
      <c r="J165"/>
      <c r="P165"/>
      <c r="Q165"/>
    </row>
    <row r="166" spans="9:17" x14ac:dyDescent="0.3">
      <c r="I166"/>
      <c r="J166"/>
      <c r="P166"/>
      <c r="Q166"/>
    </row>
    <row r="167" spans="9:17" x14ac:dyDescent="0.3">
      <c r="I167"/>
      <c r="J167"/>
      <c r="P167"/>
      <c r="Q167"/>
    </row>
    <row r="168" spans="9:17" x14ac:dyDescent="0.3">
      <c r="I168"/>
      <c r="J168"/>
      <c r="P168"/>
      <c r="Q168"/>
    </row>
    <row r="169" spans="9:17" x14ac:dyDescent="0.3">
      <c r="I169"/>
      <c r="J169"/>
      <c r="P169"/>
      <c r="Q169"/>
    </row>
    <row r="170" spans="9:17" x14ac:dyDescent="0.3">
      <c r="I170"/>
      <c r="J170"/>
      <c r="P170"/>
      <c r="Q170"/>
    </row>
    <row r="171" spans="9:17" x14ac:dyDescent="0.3">
      <c r="I171"/>
      <c r="J171"/>
      <c r="P171"/>
      <c r="Q171"/>
    </row>
    <row r="172" spans="9:17" x14ac:dyDescent="0.3">
      <c r="I172"/>
      <c r="J172"/>
      <c r="P172"/>
      <c r="Q172"/>
    </row>
    <row r="173" spans="9:17" x14ac:dyDescent="0.3">
      <c r="I173"/>
      <c r="J173"/>
      <c r="P173"/>
      <c r="Q173"/>
    </row>
    <row r="174" spans="9:17" x14ac:dyDescent="0.3">
      <c r="I174"/>
      <c r="J174"/>
      <c r="P174"/>
      <c r="Q174"/>
    </row>
    <row r="175" spans="9:17" x14ac:dyDescent="0.3">
      <c r="I175"/>
      <c r="J175"/>
      <c r="P175"/>
      <c r="Q175"/>
    </row>
    <row r="176" spans="9:17" x14ac:dyDescent="0.3">
      <c r="I176"/>
      <c r="J176"/>
      <c r="P176"/>
      <c r="Q176"/>
    </row>
    <row r="177" spans="9:17" x14ac:dyDescent="0.3">
      <c r="I177"/>
      <c r="J177"/>
      <c r="P177"/>
      <c r="Q177"/>
    </row>
    <row r="178" spans="9:17" x14ac:dyDescent="0.3">
      <c r="I178"/>
      <c r="J178"/>
      <c r="P178"/>
      <c r="Q178"/>
    </row>
    <row r="179" spans="9:17" x14ac:dyDescent="0.3">
      <c r="I179"/>
      <c r="J179"/>
      <c r="P179"/>
      <c r="Q179"/>
    </row>
    <row r="180" spans="9:17" x14ac:dyDescent="0.3">
      <c r="I180"/>
      <c r="J180"/>
      <c r="P180"/>
      <c r="Q180"/>
    </row>
    <row r="181" spans="9:17" x14ac:dyDescent="0.3">
      <c r="I181"/>
      <c r="J181"/>
      <c r="P181"/>
      <c r="Q181"/>
    </row>
    <row r="182" spans="9:17" x14ac:dyDescent="0.3">
      <c r="I182"/>
      <c r="J182"/>
      <c r="P182"/>
      <c r="Q182"/>
    </row>
    <row r="183" spans="9:17" x14ac:dyDescent="0.3">
      <c r="P183"/>
      <c r="Q183"/>
    </row>
    <row r="184" spans="9:17" x14ac:dyDescent="0.3">
      <c r="P184"/>
      <c r="Q184"/>
    </row>
    <row r="185" spans="9:17" x14ac:dyDescent="0.3">
      <c r="P185"/>
      <c r="Q185"/>
    </row>
    <row r="186" spans="9:17" x14ac:dyDescent="0.3">
      <c r="P186"/>
      <c r="Q186"/>
    </row>
    <row r="187" spans="9:17" x14ac:dyDescent="0.3">
      <c r="P187"/>
      <c r="Q187"/>
    </row>
    <row r="188" spans="9:17" x14ac:dyDescent="0.3">
      <c r="P188"/>
      <c r="Q188"/>
    </row>
    <row r="189" spans="9:17" x14ac:dyDescent="0.3">
      <c r="P189"/>
      <c r="Q189"/>
    </row>
    <row r="190" spans="9:17" x14ac:dyDescent="0.3">
      <c r="P190"/>
      <c r="Q190"/>
    </row>
    <row r="191" spans="9:17" x14ac:dyDescent="0.3">
      <c r="P191"/>
      <c r="Q191"/>
    </row>
    <row r="192" spans="9:17" x14ac:dyDescent="0.3">
      <c r="P192"/>
      <c r="Q192"/>
    </row>
    <row r="193" spans="16:17" x14ac:dyDescent="0.3">
      <c r="P193"/>
      <c r="Q193"/>
    </row>
    <row r="194" spans="16:17" x14ac:dyDescent="0.3">
      <c r="P194"/>
      <c r="Q194"/>
    </row>
    <row r="195" spans="16:17" x14ac:dyDescent="0.3">
      <c r="P195"/>
      <c r="Q195"/>
    </row>
    <row r="196" spans="16:17" x14ac:dyDescent="0.3">
      <c r="P196"/>
    </row>
    <row r="197" spans="16:17" x14ac:dyDescent="0.3">
      <c r="P19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2BF92-D768-4F4A-B6FD-A16DED065097}">
  <sheetPr>
    <tabColor rgb="FF023047"/>
    <pageSetUpPr fitToPage="1"/>
  </sheetPr>
  <dimension ref="A1"/>
  <sheetViews>
    <sheetView showGridLines="0" zoomScale="90" zoomScaleNormal="90" workbookViewId="0">
      <selection activeCell="AA30" sqref="AA30"/>
    </sheetView>
  </sheetViews>
  <sheetFormatPr defaultRowHeight="14.4" x14ac:dyDescent="0.3"/>
  <cols>
    <col min="1" max="16384" width="8.88671875" style="2"/>
  </cols>
  <sheetData/>
  <pageMargins left="0.7" right="0.7" top="0.75" bottom="0.75" header="0.3" footer="0.3"/>
  <pageSetup scale="39" fitToHeight="0"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568FE-3E76-4997-9832-7AFB4DDEBD2E}">
  <sheetPr>
    <tabColor rgb="FF023047"/>
    <pageSetUpPr fitToPage="1"/>
  </sheetPr>
  <dimension ref="O11"/>
  <sheetViews>
    <sheetView showGridLines="0" zoomScale="90" zoomScaleNormal="90" workbookViewId="0"/>
  </sheetViews>
  <sheetFormatPr defaultRowHeight="14.4" x14ac:dyDescent="0.3"/>
  <cols>
    <col min="1" max="16384" width="8.88671875" style="2"/>
  </cols>
  <sheetData>
    <row r="11" spans="15:15" x14ac:dyDescent="0.3">
      <c r="O11" s="15"/>
    </row>
  </sheetData>
  <pageMargins left="0.7" right="0.7" top="0.75" bottom="0.75" header="0.3" footer="0.3"/>
  <pageSetup scale="39" fitToHeight="0"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BC8EF-28C0-4642-BDC6-B30F7916A872}">
  <sheetPr>
    <tabColor rgb="FF023047"/>
    <pageSetUpPr fitToPage="1"/>
  </sheetPr>
  <dimension ref="O11"/>
  <sheetViews>
    <sheetView showGridLines="0" zoomScale="90" zoomScaleNormal="90" workbookViewId="0">
      <selection activeCell="I2" sqref="I2"/>
    </sheetView>
  </sheetViews>
  <sheetFormatPr defaultRowHeight="14.4" x14ac:dyDescent="0.3"/>
  <cols>
    <col min="1" max="16384" width="8.88671875" style="2"/>
  </cols>
  <sheetData>
    <row r="11" spans="15:15" x14ac:dyDescent="0.3">
      <c r="O11" s="15"/>
    </row>
  </sheetData>
  <pageMargins left="0.7" right="0.7" top="0.75" bottom="0.75" header="0.3" footer="0.3"/>
  <pageSetup scale="39" fitToHeight="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9BF41F3-85EA-4FC3-8A49-FED6143020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Correct Gender</vt:lpstr>
      <vt:lpstr>full data</vt:lpstr>
      <vt:lpstr>Pivot Table</vt:lpstr>
      <vt:lpstr>Employees Anlysis</vt:lpstr>
      <vt:lpstr>Department Anlysis</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Doaa Hilal</dc:creator>
  <cp:lastModifiedBy>Doaa Hilal</cp:lastModifiedBy>
  <dcterms:created xsi:type="dcterms:W3CDTF">2026-04-24T23:59:42Z</dcterms:created>
  <dcterms:modified xsi:type="dcterms:W3CDTF">2026-05-05T13:16:43Z</dcterms:modified>
</cp:coreProperties>
</file>